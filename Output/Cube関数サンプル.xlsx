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filterPrivacy="1" defaultThemeVersion="202300"/>
  <xr:revisionPtr revIDLastSave="3" documentId="13_ncr:1_{589FD927-BB35-4B66-B2A2-718FB2309897}" xr6:coauthVersionLast="47" xr6:coauthVersionMax="47" xr10:uidLastSave="{CDEA7556-FA0F-4289-A4F0-C7A06478F55C}"/>
  <bookViews>
    <workbookView xWindow="-110" yWindow="-110" windowWidth="38620" windowHeight="21100" xr2:uid="{E425B3A3-D2A1-4291-BC95-14E8B4F29FD9}"/>
  </bookViews>
  <sheets>
    <sheet name="インターフェイス" sheetId="5" r:id="rId1"/>
    <sheet name="収集" sheetId="3" r:id="rId2"/>
    <sheet name="計算" sheetId="4" r:id="rId3"/>
  </sheets>
  <definedNames>
    <definedName name="ExternalData_1" localSheetId="1" hidden="1">収集!$B$4:$I$101</definedName>
    <definedName name="ListKijunBi">インターフェイス!$D$20:$D$31</definedName>
    <definedName name="ListMeasures">インターフェイス!$B$20:$B$24</definedName>
    <definedName name="N_KijunBi_Manual">インターフェイス!$D$4</definedName>
    <definedName name="N_Mode">インターフェイス!$D$3</definedName>
    <definedName name="Omajinai">インターフェイス!$B$17</definedName>
    <definedName name="Unit">インターフェイス!$O$3</definedName>
    <definedName name="スライサー_年月">#N/A</definedName>
    <definedName name="基準月">インターフェイス!$D$6</definedName>
    <definedName name="基準前月">インターフェイス!$I$6</definedName>
    <definedName name="前四半期末">インターフェイス!$J$6</definedName>
  </definedNames>
  <calcPr calcId="191029"/>
  <pivotCaches>
    <pivotCache cacheId="0" r:id="rId4"/>
    <pivotCache cacheId="1" r:id="rId5"/>
  </pivotCaches>
  <extLst>
    <ext xmlns:x14="http://schemas.microsoft.com/office/spreadsheetml/2009/9/main" uri="{876F7934-8845-4945-9796-88D515C7AA90}">
      <x14:pivotCaches>
        <pivotCache cacheId="2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_国内債券明細_時価評価_6b291288-dd09-4f51-87b1-5c2379560ee0" name="F_国内債券明細_時価評価" connection="クエリ - F_国内債券明細_時価評価"/>
          <x15:modelTable id="D_銘柄分類_64d69a12-ecec-4645-b404-cf96629631ce" name="D_銘柄分類" connection="クエリ - D_銘柄分類"/>
          <x15:modelTable id="Calendar" name="C_カレンダー" connection="接続"/>
        </x15:modelTables>
        <x15:modelRelationships>
          <x15:modelRelationship fromTable="F_国内債券明細_時価評価" fromColumn="基準日" toTable="C_カレンダー" toColumn="日付"/>
          <x15:modelRelationship fromTable="F_国内債券明細_時価評価" fromColumn="銘柄" toTable="D_銘柄分類" toColumn="銘柄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23" i="5"/>
  <c r="D30" i="5"/>
  <c r="D25" i="5"/>
  <c r="D21" i="5"/>
  <c r="B23" i="5"/>
  <c r="D24" i="5"/>
  <c r="B22" i="5"/>
  <c r="D27" i="5"/>
  <c r="C10" i="5"/>
  <c r="B21" i="5"/>
  <c r="C9" i="5"/>
  <c r="K11" i="5"/>
  <c r="C8" i="5"/>
  <c r="D22" i="5"/>
  <c r="L10" i="5"/>
  <c r="D26" i="5"/>
  <c r="D31" i="5"/>
  <c r="K8" i="5"/>
  <c r="D28" i="5"/>
  <c r="K9" i="5"/>
  <c r="C11" i="5"/>
  <c r="L11" i="5"/>
  <c r="K12" i="5"/>
  <c r="L8" i="5"/>
  <c r="K10" i="5"/>
  <c r="L9" i="5"/>
  <c r="B20" i="5"/>
  <c r="D20" i="5"/>
  <c r="C12" i="5"/>
  <c r="D29" i="5"/>
  <c r="B24" i="5"/>
  <c r="G10" i="5"/>
  <c r="I6" i="5"/>
  <c r="G12" i="5"/>
  <c r="H10" i="5"/>
  <c r="H8" i="5"/>
  <c r="D9" i="5"/>
  <c r="D8" i="5"/>
  <c r="D12" i="5"/>
  <c r="D11" i="5"/>
  <c r="G9" i="5"/>
  <c r="H11" i="5"/>
  <c r="G8" i="5"/>
  <c r="G11" i="5"/>
  <c r="H9" i="5"/>
  <c r="H12" i="5"/>
  <c r="D10" i="5"/>
  <c r="J6" i="5"/>
  <c r="U8" i="5" l="1" a="1"/>
  <c r="U8" i="5" s="1"/>
  <c r="V8" i="5" a="1"/>
  <c r="V8" i="5" s="1"/>
  <c r="L12" i="5"/>
  <c r="I10" i="5"/>
  <c r="J8" i="5"/>
  <c r="E10" i="5"/>
  <c r="I9" i="5"/>
  <c r="J10" i="5"/>
  <c r="F10" i="5"/>
  <c r="I12" i="5"/>
  <c r="I8" i="5"/>
  <c r="I11" i="5"/>
  <c r="J9" i="5"/>
  <c r="J11" i="5"/>
  <c r="F8" i="5"/>
  <c r="E12" i="5"/>
  <c r="E8" i="5"/>
  <c r="J12" i="5"/>
  <c r="F9" i="5"/>
  <c r="E9" i="5"/>
  <c r="F12" i="5"/>
  <c r="F11" i="5"/>
  <c r="E11" i="5"/>
  <c r="S8" i="5" l="1" a="1"/>
  <c r="S8" i="5" s="1"/>
  <c r="P8" i="5" a="1"/>
  <c r="P8" i="5" s="1"/>
  <c r="T8" i="5" a="1"/>
  <c r="T8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617AC5-B63B-485B-AF68-15C990AD38C7}" keepAlive="1" name="ModelConnection_ExternalData_1" description="データ モデル" type="5" refreshedVersion="8" minRefreshableVersion="5" saveData="1">
    <dbPr connection="Data Model Connection" command="F_国内債券明細_時価評価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E354F43-DA11-46EA-AFEC-37B23006B34E}" keepAlive="1" name="ThisWorkbookDataModel" description="データ モデル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03CD953-83D7-46C7-BA35-46C08C17D802}" name="クエリ - D_銘柄分類" description="ブック内の 'D_銘柄分類' クエリへの接続です。" type="100" refreshedVersion="8" minRefreshableVersion="5">
    <extLst>
      <ext xmlns:x15="http://schemas.microsoft.com/office/spreadsheetml/2010/11/main" uri="{DE250136-89BD-433C-8126-D09CA5730AF9}">
        <x15:connection id="752189a5-d6d6-410b-b527-02936d6de9ac">
          <x15:oledbPr connection="Provider=Microsoft.Mashup.OleDb.1;Data Source=$Workbook$;Location=D_銘柄分類;Extended Properties=&quot;&quot;">
            <x15:dbTables>
              <x15:dbTable name="D_銘柄分類"/>
            </x15:dbTables>
          </x15:oledbPr>
        </x15:connection>
      </ext>
    </extLst>
  </connection>
  <connection id="4" xr16:uid="{710AD479-922A-4428-86E0-7F0F04E08DD6}" name="クエリ - F_国内債券明細_時価評価" description="ブック内の 'F_国内債券明細_時価評価' クエリへの接続です。" type="100" refreshedVersion="8" minRefreshableVersion="5">
    <extLst>
      <ext xmlns:x15="http://schemas.microsoft.com/office/spreadsheetml/2010/11/main" uri="{DE250136-89BD-433C-8126-D09CA5730AF9}">
        <x15:connection id="7e831436-949e-4b85-afd2-6702f2c117e0"/>
      </ext>
    </extLst>
  </connection>
  <connection id="5" xr16:uid="{C0183EC3-D553-4FD1-A08B-821FD65E84BF}" name="接続" type="104" refreshedVersion="0" background="1">
    <extLst>
      <ext xmlns:x15="http://schemas.microsoft.com/office/spreadsheetml/2010/11/main" uri="{DE250136-89BD-433C-8126-D09CA5730AF9}">
        <x15:connection id="Calendar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5">
    <s v="ThisWorkbookDataModel"/>
    <s v="#,0"/>
    <s v="[C_カレンダー].[年月].&amp;[2024年10月]"/>
    <s v="[C_カレンダー].[年月].&amp;[2024年08月]"/>
    <s v="[Measures].[M_簿価]"/>
    <s v="[D_銘柄分類].[分類].&amp;[短期]"/>
    <s v="[Measures].[M_時価]"/>
    <s v="[D_銘柄分類].[分類].&amp;[中期]"/>
    <s v="[D_銘柄分類].[分類].&amp;[長期]"/>
    <s v="[D_銘柄分類].[分類].&amp;[超長期]"/>
    <s v="[C_カレンダー].[年月].&amp;[2024年04月]"/>
    <s v="[C_カレンダー].[年月].&amp;[2024年12月]"/>
    <s v="[C_カレンダー].[年月].&amp;[2024年06月]"/>
    <s v="[C_カレンダー].[年月].&amp;[2025年02月]"/>
    <s v="[C_カレンダー].[年月].&amp;[2024年11月]"/>
    <s v="[C_カレンダー].[年月].&amp;[2024年05月]"/>
    <s v="[C_カレンダー].[年月].&amp;[2024年09月]"/>
    <s v="[C_カレンダー].[年月].&amp;[2025年01月]"/>
    <s v="[C_カレンダー].[年月].&amp;[2024年07月]"/>
    <s v="[C_カレンダー].[年月].&amp;[2025年03月]"/>
    <s v="[Measures].[M_評価損益]"/>
    <s v="#,0.00"/>
    <s v="[D_銘柄分類].[分類].[All]"/>
    <s v="[Measures].[M_修正Dur]"/>
    <s v="[Measures].[M_利率]"/>
  </metadataStrings>
  <mdxMetadata count="57"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v">
      <t c="3" si="1">
        <n x="4"/>
        <n x="5"/>
        <n x="11"/>
      </t>
    </mdx>
    <mdx n="0" f="v">
      <t c="3" si="1">
        <n x="4"/>
        <n x="8"/>
        <n x="11"/>
      </t>
    </mdx>
    <mdx n="0" f="v">
      <t c="3" si="1">
        <n x="4"/>
        <n x="7"/>
        <n x="11"/>
      </t>
    </mdx>
    <mdx n="0" f="v">
      <t c="3" si="1">
        <n x="4"/>
        <n x="9"/>
        <n x="11"/>
      </t>
    </mdx>
    <mdx n="0" f="v">
      <t c="3" si="1">
        <n x="6"/>
        <n x="5"/>
        <n x="11"/>
      </t>
    </mdx>
    <mdx n="0" f="v">
      <t c="3" si="1">
        <n x="6"/>
        <n x="7"/>
        <n x="11"/>
      </t>
    </mdx>
    <mdx n="0" f="v">
      <t c="3" si="1">
        <n x="6"/>
        <n x="8"/>
        <n x="11"/>
      </t>
    </mdx>
    <mdx n="0" f="v">
      <t c="3" si="1">
        <n x="6"/>
        <n x="9"/>
        <n x="11"/>
      </t>
    </mdx>
    <mdx n="0" f="m">
      <t c="1">
        <n x="20"/>
      </t>
    </mdx>
    <mdx n="0" f="v">
      <t c="3" si="21">
        <n x="20"/>
        <n x="5"/>
        <n x="16"/>
      </t>
    </mdx>
    <mdx n="0" f="m">
      <t c="1">
        <n x="22"/>
      </t>
    </mdx>
    <mdx n="0" f="v">
      <t c="3" si="21">
        <n x="20"/>
        <n x="22"/>
        <n x="16"/>
      </t>
    </mdx>
    <mdx n="0" f="v">
      <t c="3" si="21">
        <n x="20"/>
        <n x="9"/>
        <n x="16"/>
      </t>
    </mdx>
    <mdx n="0" f="v">
      <t c="3" si="21">
        <n x="20"/>
        <n x="7"/>
        <n x="16"/>
      </t>
    </mdx>
    <mdx n="0" f="v">
      <t c="3" si="21">
        <n x="20"/>
        <n x="8"/>
        <n x="16"/>
      </t>
    </mdx>
    <mdx n="0" f="v">
      <t c="3" si="21">
        <n x="20"/>
        <n x="22"/>
        <n x="14"/>
      </t>
    </mdx>
    <mdx n="0" f="v">
      <t c="3" si="21">
        <n x="20"/>
        <n x="9"/>
        <n x="14"/>
      </t>
    </mdx>
    <mdx n="0" f="v">
      <t c="3" si="21">
        <n x="20"/>
        <n x="5"/>
        <n x="14"/>
      </t>
    </mdx>
    <mdx n="0" f="v">
      <t c="3" si="21">
        <n x="20"/>
        <n x="7"/>
        <n x="14"/>
      </t>
    </mdx>
    <mdx n="0" f="v">
      <t c="3" si="21">
        <n x="20"/>
        <n x="8"/>
        <n x="14"/>
      </t>
    </mdx>
    <mdx n="0" f="v">
      <t c="3" si="1">
        <n x="6"/>
        <n x="22"/>
        <n x="11"/>
      </t>
    </mdx>
    <mdx n="0" f="v">
      <t c="3" si="21">
        <n x="20"/>
        <n x="22"/>
        <n x="11"/>
      </t>
    </mdx>
    <mdx n="0" f="v">
      <t c="3" si="21">
        <n x="20"/>
        <n x="9"/>
        <n x="11"/>
      </t>
    </mdx>
    <mdx n="0" f="v">
      <t c="3" si="21">
        <n x="20"/>
        <n x="5"/>
        <n x="11"/>
      </t>
    </mdx>
    <mdx n="0" f="v">
      <t c="3" si="21">
        <n x="20"/>
        <n x="7"/>
        <n x="11"/>
      </t>
    </mdx>
    <mdx n="0" f="v">
      <t c="3" si="21">
        <n x="20"/>
        <n x="8"/>
        <n x="11"/>
      </t>
    </mdx>
    <mdx n="0" f="m">
      <t c="1">
        <n x="23"/>
      </t>
    </mdx>
    <mdx n="0" f="v">
      <t c="3" si="1">
        <n x="4"/>
        <n x="22"/>
        <n x="11"/>
      </t>
    </mdx>
    <mdx n="0" f="v">
      <t c="3" si="21">
        <n x="23"/>
        <n x="5"/>
        <n x="11"/>
      </t>
    </mdx>
    <mdx n="0" f="v">
      <t c="3" si="21">
        <n x="23"/>
        <n x="7"/>
        <n x="11"/>
      </t>
    </mdx>
    <mdx n="0" f="v">
      <t c="3" si="21">
        <n x="23"/>
        <n x="9"/>
        <n x="11"/>
      </t>
    </mdx>
    <mdx n="0" f="v">
      <t c="3" si="21">
        <n x="23"/>
        <n x="8"/>
        <n x="11"/>
      </t>
    </mdx>
    <mdx n="0" f="v">
      <t c="3" si="21">
        <n x="23"/>
        <n x="22"/>
        <n x="11"/>
      </t>
    </mdx>
    <mdx n="0" f="m">
      <t c="1">
        <n x="24"/>
      </t>
    </mdx>
    <mdx n="0" f="v">
      <t c="3" si="21">
        <n x="24"/>
        <n x="9"/>
        <n x="11"/>
      </t>
    </mdx>
    <mdx n="0" f="v">
      <t c="3" si="21">
        <n x="24"/>
        <n x="7"/>
        <n x="11"/>
      </t>
    </mdx>
    <mdx n="0" f="v">
      <t c="3" si="21">
        <n x="24"/>
        <n x="5"/>
        <n x="11"/>
      </t>
    </mdx>
    <mdx n="0" f="v">
      <t c="3" si="21">
        <n x="24"/>
        <n x="8"/>
        <n x="11"/>
      </t>
    </mdx>
    <mdx n="0" f="v">
      <t c="3" si="21">
        <n x="24"/>
        <n x="22"/>
        <n x="11"/>
      </t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5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</valueMetadata>
</metadata>
</file>

<file path=xl/sharedStrings.xml><?xml version="1.0" encoding="utf-8"?>
<sst xmlns="http://schemas.openxmlformats.org/spreadsheetml/2006/main" count="164" uniqueCount="60">
  <si>
    <t>基準日</t>
  </si>
  <si>
    <t>基準日</t>
    <rPh sb="0" eb="3">
      <t>キジュンビ</t>
    </rPh>
    <phoneticPr fontId="2"/>
  </si>
  <si>
    <t>F_国内債券明細_時価評価</t>
  </si>
  <si>
    <t>銘柄</t>
  </si>
  <si>
    <t>発行日</t>
  </si>
  <si>
    <t>償還日</t>
  </si>
  <si>
    <t>利率</t>
  </si>
  <si>
    <t>簿価</t>
  </si>
  <si>
    <t>時価</t>
  </si>
  <si>
    <t>修正デュレーション</t>
  </si>
  <si>
    <t>第448回利付国庫債券（2年）</t>
  </si>
  <si>
    <t>第142回利付国庫債券（5年）</t>
  </si>
  <si>
    <t>第153回利付国庫債券（5年）</t>
  </si>
  <si>
    <t>第335回利付国庫債券（10年）</t>
  </si>
  <si>
    <t>第347回利付国庫債券（10年）</t>
  </si>
  <si>
    <t>第95回利付国庫債券（20年）</t>
  </si>
  <si>
    <t>第145回利付国庫債券（20年）</t>
  </si>
  <si>
    <t>第169回利付国庫債券（5年）</t>
  </si>
  <si>
    <t>第170回利付国庫債券（5年）</t>
  </si>
  <si>
    <t>第375回利付国庫債券（10年）</t>
  </si>
  <si>
    <t>Pivotレポート</t>
    <phoneticPr fontId="2"/>
  </si>
  <si>
    <t>短期</t>
  </si>
  <si>
    <t>中期</t>
  </si>
  <si>
    <t>長期</t>
  </si>
  <si>
    <t>総計</t>
  </si>
  <si>
    <t>短期 集計</t>
  </si>
  <si>
    <t>中期 集計</t>
  </si>
  <si>
    <t>長期 集計</t>
  </si>
  <si>
    <t>分類</t>
    <rPh sb="0" eb="2">
      <t>ブンルイ</t>
    </rPh>
    <phoneticPr fontId="2"/>
  </si>
  <si>
    <t>短期</t>
    <rPh sb="0" eb="2">
      <t>タンキ</t>
    </rPh>
    <phoneticPr fontId="2"/>
  </si>
  <si>
    <t>M_簿価</t>
  </si>
  <si>
    <t>M_時価</t>
  </si>
  <si>
    <t>M_評価損益</t>
  </si>
  <si>
    <t>おまじない</t>
    <phoneticPr fontId="2"/>
  </si>
  <si>
    <t>ThisWorkbookDataModel</t>
    <phoneticPr fontId="2"/>
  </si>
  <si>
    <t>年月</t>
    <rPh sb="0" eb="2">
      <t>ネンゲツ</t>
    </rPh>
    <phoneticPr fontId="2"/>
  </si>
  <si>
    <t>中期</t>
    <rPh sb="0" eb="2">
      <t>チュウキ</t>
    </rPh>
    <phoneticPr fontId="2"/>
  </si>
  <si>
    <t>長期</t>
    <rPh sb="0" eb="2">
      <t>チョウキ</t>
    </rPh>
    <phoneticPr fontId="2"/>
  </si>
  <si>
    <t>超長期</t>
    <rPh sb="0" eb="3">
      <t>チョウチョウキ</t>
    </rPh>
    <phoneticPr fontId="2"/>
  </si>
  <si>
    <t>評価損益</t>
    <rPh sb="0" eb="2">
      <t>ヒョウカ</t>
    </rPh>
    <rPh sb="2" eb="4">
      <t>ソンエキ</t>
    </rPh>
    <phoneticPr fontId="2"/>
  </si>
  <si>
    <t>簿価</t>
    <rPh sb="0" eb="2">
      <t>ボカ</t>
    </rPh>
    <phoneticPr fontId="2"/>
  </si>
  <si>
    <t>時価</t>
    <rPh sb="0" eb="2">
      <t>ジカ</t>
    </rPh>
    <phoneticPr fontId="2"/>
  </si>
  <si>
    <t>前四半期末</t>
    <rPh sb="0" eb="5">
      <t>ゼンシハンキマツ</t>
    </rPh>
    <phoneticPr fontId="2"/>
  </si>
  <si>
    <t>MoM</t>
    <phoneticPr fontId="2"/>
  </si>
  <si>
    <t>QTD</t>
    <phoneticPr fontId="2"/>
  </si>
  <si>
    <t>関数</t>
    <rPh sb="0" eb="2">
      <t>カンスウ</t>
    </rPh>
    <phoneticPr fontId="2"/>
  </si>
  <si>
    <t>単位：百万円</t>
    <rPh sb="0" eb="2">
      <t>タンイ</t>
    </rPh>
    <rPh sb="3" eb="6">
      <t>ヒャクマンエン</t>
    </rPh>
    <phoneticPr fontId="2"/>
  </si>
  <si>
    <t>手動</t>
  </si>
  <si>
    <t>前月末</t>
    <rPh sb="0" eb="3">
      <t>ゼンゲツマツ</t>
    </rPh>
    <phoneticPr fontId="2"/>
  </si>
  <si>
    <t>集計対象</t>
    <rPh sb="0" eb="4">
      <t>シュウケイタイショウ</t>
    </rPh>
    <phoneticPr fontId="2"/>
  </si>
  <si>
    <t>合計</t>
    <rPh sb="0" eb="2">
      <t>ゴウケイ</t>
    </rPh>
    <phoneticPr fontId="2"/>
  </si>
  <si>
    <t>2024年12月</t>
  </si>
  <si>
    <t>日本国債</t>
    <rPh sb="0" eb="4">
      <t>ニホンコクサイ</t>
    </rPh>
    <phoneticPr fontId="2"/>
  </si>
  <si>
    <t>M_修正Dur</t>
  </si>
  <si>
    <t>M_利率</t>
  </si>
  <si>
    <t>修正
Dur</t>
    <rPh sb="0" eb="2">
      <t>シュウセイ</t>
    </rPh>
    <phoneticPr fontId="2"/>
  </si>
  <si>
    <t>平均
利率</t>
    <phoneticPr fontId="2"/>
  </si>
  <si>
    <t>金額単位</t>
    <rPh sb="0" eb="4">
      <t>キンガクタンイ</t>
    </rPh>
    <phoneticPr fontId="2"/>
  </si>
  <si>
    <t>超長期</t>
  </si>
  <si>
    <t>超長期 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</si>
</sst>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&quot;▲ &quot;#,##0.00"/>
    <numFmt numFmtId="177" formatCode="#,##0;&quot;▲ &quot;#,##0"/>
  </numFmts>
  <fonts count="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>
      <alignment vertical="center"/>
    </xf>
    <xf numFmtId="0" fontId="0" fillId="0" borderId="7" xfId="0" applyBorder="1">
      <alignment vertical="center"/>
    </xf>
    <xf numFmtId="0" fontId="3" fillId="0" borderId="0" xfId="0" applyFont="1">
      <alignment vertical="center"/>
    </xf>
    <xf numFmtId="0" fontId="0" fillId="0" borderId="15" xfId="0" applyBorder="1">
      <alignment vertical="center"/>
    </xf>
    <xf numFmtId="38" fontId="0" fillId="0" borderId="5" xfId="1" applyFont="1" applyBorder="1">
      <alignment vertical="center"/>
    </xf>
    <xf numFmtId="38" fontId="0" fillId="0" borderId="0" xfId="1" applyFont="1" applyBorder="1">
      <alignment vertical="center"/>
    </xf>
    <xf numFmtId="176" fontId="0" fillId="0" borderId="14" xfId="0" applyNumberFormat="1" applyBorder="1">
      <alignment vertical="center"/>
    </xf>
    <xf numFmtId="176" fontId="0" fillId="0" borderId="5" xfId="0" applyNumberFormat="1" applyBorder="1">
      <alignment vertical="center"/>
    </xf>
    <xf numFmtId="38" fontId="0" fillId="0" borderId="7" xfId="1" applyFont="1" applyBorder="1">
      <alignment vertical="center"/>
    </xf>
    <xf numFmtId="38" fontId="0" fillId="0" borderId="8" xfId="1" applyFont="1" applyBorder="1">
      <alignment vertical="center"/>
    </xf>
    <xf numFmtId="176" fontId="0" fillId="0" borderId="15" xfId="0" applyNumberFormat="1" applyBorder="1">
      <alignment vertical="center"/>
    </xf>
    <xf numFmtId="177" fontId="0" fillId="0" borderId="0" xfId="1" applyNumberFormat="1" applyFont="1">
      <alignment vertical="center"/>
    </xf>
    <xf numFmtId="176" fontId="0" fillId="0" borderId="8" xfId="0" applyNumberFormat="1" applyBorder="1" applyAlignment="1">
      <alignment horizontal="right" vertical="center"/>
    </xf>
    <xf numFmtId="38" fontId="0" fillId="0" borderId="10" xfId="1" applyFont="1" applyBorder="1">
      <alignment vertical="center"/>
    </xf>
    <xf numFmtId="38" fontId="0" fillId="0" borderId="11" xfId="1" applyFon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176" fontId="0" fillId="0" borderId="4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6" xfId="0" applyNumberFormat="1" applyBorder="1">
      <alignment vertical="center"/>
    </xf>
    <xf numFmtId="10" fontId="0" fillId="0" borderId="0" xfId="2" applyNumberFormat="1" applyFont="1">
      <alignment vertical="center"/>
    </xf>
    <xf numFmtId="176" fontId="0" fillId="0" borderId="0" xfId="1" applyNumberFormat="1" applyFont="1">
      <alignment vertical="center"/>
    </xf>
    <xf numFmtId="10" fontId="0" fillId="0" borderId="14" xfId="2" applyNumberFormat="1" applyFont="1" applyBorder="1">
      <alignment vertical="center"/>
    </xf>
    <xf numFmtId="10" fontId="0" fillId="0" borderId="15" xfId="2" applyNumberFormat="1" applyFont="1" applyBorder="1" applyAlignment="1">
      <alignment horizontal="right" vertical="center"/>
    </xf>
    <xf numFmtId="10" fontId="0" fillId="0" borderId="13" xfId="2" applyNumberFormat="1" applyFont="1" applyBorder="1">
      <alignment vertical="center"/>
    </xf>
    <xf numFmtId="38" fontId="0" fillId="0" borderId="0" xfId="1" applyFont="1" applyAlignment="1">
      <alignment vertical="center"/>
    </xf>
    <xf numFmtId="14" fontId="3" fillId="0" borderId="7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4" fillId="2" borderId="7" xfId="0" applyFont="1" applyFill="1" applyBorder="1">
      <alignment vertical="center"/>
    </xf>
    <xf numFmtId="0" fontId="0" fillId="0" borderId="19" xfId="0" applyBorder="1">
      <alignment vertical="center"/>
    </xf>
    <xf numFmtId="0" fontId="0" fillId="2" borderId="19" xfId="0" applyFill="1" applyBorder="1">
      <alignment vertical="center"/>
    </xf>
    <xf numFmtId="0" fontId="0" fillId="0" borderId="12" xfId="0" applyBorder="1">
      <alignment vertical="center"/>
    </xf>
    <xf numFmtId="0" fontId="0" fillId="2" borderId="14" xfId="0" applyFill="1" applyBorder="1" applyAlignment="1">
      <alignment horizontal="center" vertical="center"/>
    </xf>
    <xf numFmtId="14" fontId="0" fillId="0" borderId="15" xfId="0" applyNumberFormat="1" applyBorder="1">
      <alignment vertical="center"/>
    </xf>
    <xf numFmtId="0" fontId="0" fillId="0" borderId="16" xfId="0" applyBorder="1">
      <alignment vertical="center"/>
    </xf>
    <xf numFmtId="177" fontId="0" fillId="0" borderId="7" xfId="1" applyNumberFormat="1" applyFont="1" applyBorder="1">
      <alignment vertical="center"/>
    </xf>
    <xf numFmtId="10" fontId="0" fillId="0" borderId="7" xfId="2" applyNumberFormat="1" applyFont="1" applyBorder="1">
      <alignment vertical="center"/>
    </xf>
    <xf numFmtId="176" fontId="0" fillId="0" borderId="7" xfId="1" applyNumberFormat="1" applyFont="1" applyBorder="1">
      <alignment vertical="center"/>
    </xf>
    <xf numFmtId="38" fontId="0" fillId="0" borderId="15" xfId="1" applyFont="1" applyBorder="1" applyAlignment="1">
      <alignment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0" fillId="0" borderId="0" xfId="0" applyNumberFormat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6">
    <dxf>
      <numFmt numFmtId="19" formatCode="yyyy/m/d"/>
      <fill>
        <patternFill>
          <bgColor theme="1"/>
        </patternFill>
      </fill>
    </dxf>
    <dxf>
      <font>
        <b val="0"/>
        <i val="0"/>
        <color auto="1"/>
      </font>
      <numFmt numFmtId="19" formatCode="yyyy/m/d"/>
      <fill>
        <patternFill patternType="solid">
          <bgColor rgb="FFFFC000"/>
        </patternFill>
      </fill>
    </dxf>
    <dxf>
      <numFmt numFmtId="19" formatCode="yyyy/m/d"/>
    </dxf>
    <dxf>
      <numFmt numFmtId="19" formatCode="yyyy/m/d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E11" s="5"/>
        <tr r="F11" s="5"/>
        <tr r="F12" s="5"/>
        <tr r="E9" s="5"/>
        <tr r="F9" s="5"/>
        <tr r="J12" s="5"/>
        <tr r="E8" s="5"/>
        <tr r="E12" s="5"/>
        <tr r="F8" s="5"/>
        <tr r="J11" s="5"/>
        <tr r="J9" s="5"/>
        <tr r="I11" s="5"/>
        <tr r="I8" s="5"/>
        <tr r="I12" s="5"/>
        <tr r="F10" s="5"/>
        <tr r="J10" s="5"/>
        <tr r="I9" s="5"/>
        <tr r="E10" s="5"/>
        <tr r="J8" s="5"/>
        <tr r="I10" s="5"/>
        <tr r="L12" s="5"/>
        <tr r="J6" s="5"/>
        <tr r="D10" s="5"/>
        <tr r="H12" s="5"/>
        <tr r="H9" s="5"/>
        <tr r="G11" s="5"/>
        <tr r="G8" s="5"/>
        <tr r="H11" s="5"/>
        <tr r="G9" s="5"/>
        <tr r="D11" s="5"/>
        <tr r="D12" s="5"/>
        <tr r="D8" s="5"/>
        <tr r="D9" s="5"/>
        <tr r="H8" s="5"/>
        <tr r="H10" s="5"/>
        <tr r="G12" s="5"/>
        <tr r="I6" s="5"/>
        <tr r="G10" s="5"/>
        <tr r="B24" s="5"/>
        <tr r="D29" s="5"/>
        <tr r="C12" s="5"/>
        <tr r="D20" s="5"/>
        <tr r="B20" s="5"/>
        <tr r="L9" s="5"/>
        <tr r="K10" s="5"/>
        <tr r="L8" s="5"/>
        <tr r="K12" s="5"/>
        <tr r="L11" s="5"/>
        <tr r="C11" s="5"/>
        <tr r="K9" s="5"/>
        <tr r="D28" s="5"/>
        <tr r="K8" s="5"/>
        <tr r="D31" s="5"/>
        <tr r="D26" s="5"/>
        <tr r="L10" s="5"/>
        <tr r="D22" s="5"/>
        <tr r="C8" s="5"/>
        <tr r="K11" s="5"/>
        <tr r="C9" s="5"/>
        <tr r="B21" s="5"/>
        <tr r="C10" s="5"/>
        <tr r="D27" s="5"/>
        <tr r="B22" s="5"/>
        <tr r="D24" s="5"/>
        <tr r="B23" s="5"/>
        <tr r="D21" s="5"/>
        <tr r="D25" s="5"/>
        <tr r="D30" s="5"/>
        <tr r="D23" s="5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volatileDependencies" Target="volatileDependencies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123824</xdr:colOff>
      <xdr:row>0</xdr:row>
      <xdr:rowOff>185737</xdr:rowOff>
    </xdr:from>
    <xdr:to>
      <xdr:col>9</xdr:col>
      <xdr:colOff>180974</xdr:colOff>
      <xdr:row>12</xdr:row>
      <xdr:rowOff>95254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年月">
              <a:extLst>
                <a:ext uri="{FF2B5EF4-FFF2-40B4-BE49-F238E27FC236}">
                  <a16:creationId xmlns:a16="http://schemas.microsoft.com/office/drawing/2014/main" id="{DDDDD8A8-847E-B18D-0D5D-FDA553DB8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299" y="185737"/>
              <a:ext cx="1838325" cy="2595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作成者" refreshedDate="45984.842049999999" backgroundQuery="1" createdVersion="3" refreshedVersion="8" minRefreshableVersion="3" recordCount="0" tupleCache="1" xr:uid="{0602CA1E-5A4D-4354-9B7D-1572C5D9AE98}">
  <cacheSource type="external" connectionId="2"/>
  <cacheFields count="3">
    <cacheField name="[C_カレンダー].[年月].[年月]" caption="年月" numFmtId="0" hierarchy="4" level="1">
      <sharedItems count="12">
        <s v="[C_カレンダー].[年月].&amp;[2025年03月]" c="2025年03月"/>
        <s v="[C_カレンダー].[年月].&amp;[2024年11月]" c="2024年11月"/>
        <s v="[C_カレンダー].[年月].&amp;[2024年07月]" c="2024年07月"/>
        <s v="[C_カレンダー].[年月].&amp;[2025年02月]" c="2025年02月"/>
        <s v="[C_カレンダー].[年月].&amp;[2024年10月]" c="2024年10月"/>
        <s v="[C_カレンダー].[年月].&amp;[2024年06月]" c="2024年06月"/>
        <s v="[C_カレンダー].[年月].&amp;[2025年01月]" c="2025年01月"/>
        <s v="[C_カレンダー].[年月].&amp;[2024年09月]" c="2024年09月"/>
        <s v="[C_カレンダー].[年月].&amp;[2024年05月]" c="2024年05月"/>
        <s v="[C_カレンダー].[年月].&amp;[2024年12月]" c="2024年12月"/>
        <s v="[C_カレンダー].[年月].&amp;[2024年08月]" c="2024年08月"/>
        <s v="[C_カレンダー].[年月].&amp;[2024年04月]" c="2024年04月"/>
      </sharedItems>
    </cacheField>
    <cacheField name="[Measures].[MeasuresLevel]" caption="MeasuresLevel" numFmtId="0" hierarchy="12">
      <sharedItems count="5">
        <s v="[Measures].[M_簿価]" c="M_簿価"/>
        <s v="[Measures].[M_時価]" c="M_時価"/>
        <s v="[Measures].[M_利率]" c="M_利率"/>
        <s v="[Measures].[M_評価損益]" c="M_評価損益"/>
        <s v="[Measures].[M_修正Dur]" c="M_修正Dur"/>
      </sharedItems>
    </cacheField>
    <cacheField name="[D_銘柄分類].[分類].[分類]" caption="分類" numFmtId="0" hierarchy="6" level="1">
      <sharedItems count="4">
        <s v="[D_銘柄分類].[分類].&amp;[超長期]" c="超長期"/>
        <s v="[D_銘柄分類].[分類].&amp;[長期]" c="長期"/>
        <s v="[D_銘柄分類].[分類].&amp;[中期]" c="中期"/>
        <s v="[D_銘柄分類].[分類].&amp;[短期]" c="短期"/>
      </sharedItems>
    </cacheField>
  </cacheFields>
  <cacheHierarchies count="29">
    <cacheHierarchy uniqueName="[C_カレンダー].[Date Hierarchy]" caption="Date Hierarchy" time="1" defaultMemberUniqueName="[C_カレンダー].[Date Hierarchy].[All]" allUniqueName="[C_カレンダー].[Date Hierarchy].[All]" dimensionUniqueName="[C_カレンダー]" displayFolder="" count="3" unbalanced="0"/>
    <cacheHierarchy uniqueName="[C_カレンダー].[日付]" caption="日付" attribute="1" time="1" keyAttribute="1" defaultMemberUniqueName="[C_カレンダー].[日付].[All]" allUniqueName="[C_カレンダー].[日付].[All]" dimensionUniqueName="[C_カレンダー]" displayFolder="" count="2" memberValueDatatype="7" unbalanced="0"/>
    <cacheHierarchy uniqueName="[C_カレンダー].[年（数値）]" caption="年（数値）" attribute="1" time="1" defaultMemberUniqueName="[C_カレンダー].[年（数値）].[All]" allUniqueName="[C_カレンダー].[年（数値）].[All]" dimensionUniqueName="[C_カレンダー]" displayFolder="" count="2" memberValueDatatype="20" unbalanced="0"/>
    <cacheHierarchy uniqueName="[C_カレンダー].[月（数値）]" caption="月（数値）" attribute="1" time="1" defaultMemberUniqueName="[C_カレンダー].[月（数値）].[All]" allUniqueName="[C_カレンダー].[月（数値）].[All]" dimensionUniqueName="[C_カレンダー]" displayFolder="" count="2" memberValueDatatype="20" unbalanced="0"/>
    <cacheHierarchy uniqueName="[C_カレンダー].[年月]" caption="年月" attribute="1" time="1" defaultMemberUniqueName="[C_カレンダー].[年月].[All]" allUniqueName="[C_カレンダー].[年月].[All]" dimensionUniqueName="[C_カレンダー]" displayFolder="" count="2" memberValueDatatype="130" unbalanced="0">
      <fieldsUsage count="2">
        <fieldUsage x="-1"/>
        <fieldUsage x="0"/>
      </fieldsUsage>
    </cacheHierarchy>
    <cacheHierarchy uniqueName="[D_銘柄分類].[銘柄]" caption="銘柄" attribute="1" defaultMemberUniqueName="[D_銘柄分類].[銘柄].[All]" allUniqueName="[D_銘柄分類].[銘柄].[All]" dimensionUniqueName="[D_銘柄分類]" displayFolder="" count="2" memberValueDatatype="130" unbalanced="0"/>
    <cacheHierarchy uniqueName="[D_銘柄分類].[分類]" caption="分類" attribute="1" defaultMemberUniqueName="[D_銘柄分類].[分類].[All]" allUniqueName="[D_銘柄分類].[分類].[All]" allCaption="All" dimensionUniqueName="[D_銘柄分類]" displayFolder="" count="2" memberValueDatatype="130" unbalanced="0">
      <fieldsUsage count="2">
        <fieldUsage x="-1"/>
        <fieldUsage x="2"/>
      </fieldsUsage>
    </cacheHierarchy>
    <cacheHierarchy uniqueName="[D_銘柄分類].[回号]" caption="回号" attribute="1" defaultMemberUniqueName="[D_銘柄分類].[回号].[All]" allUniqueName="[D_銘柄分類].[回号].[All]" dimensionUniqueName="[D_銘柄分類]" displayFolder="" count="2" memberValueDatatype="20" unbalanced="0"/>
    <cacheHierarchy uniqueName="[D_銘柄分類].[満期]" caption="満期" attribute="1" defaultMemberUniqueName="[D_銘柄分類].[満期].[All]" allUniqueName="[D_銘柄分類].[満期].[All]" dimensionUniqueName="[D_銘柄分類]" displayFolder="" count="2" memberValueDatatype="20" unbalanced="0"/>
    <cacheHierarchy uniqueName="[D_銘柄分類].[銘柄分類]" caption="銘柄分類" defaultMemberUniqueName="[D_銘柄分類].[銘柄分類].[All]" allUniqueName="[D_銘柄分類].[銘柄分類].[All]" dimensionUniqueName="[D_銘柄分類]" displayFolder="" count="3" unbalanced="0"/>
    <cacheHierarchy uniqueName="[F_国内債券明細_時価評価].[発行日]" caption="発行日" attribute="1" time="1" defaultMemberUniqueName="[F_国内債券明細_時価評価].[発行日].[All]" allUniqueName="[F_国内債券明細_時価評価].[発行日].[All]" dimensionUniqueName="[F_国内債券明細_時価評価]" displayFolder="" count="2" memberValueDatatype="7" unbalanced="0"/>
    <cacheHierarchy uniqueName="[F_国内債券明細_時価評価].[償還日]" caption="償還日" attribute="1" time="1" defaultMemberUniqueName="[F_国内債券明細_時価評価].[償還日].[All]" allUniqueName="[F_国内債券明細_時価評価].[償還日].[All]" dimensionUniqueName="[F_国内債券明細_時価評価]" displayFolder="" count="2" memberValueDatatype="7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1"/>
      </fieldsUsage>
    </cacheHierarchy>
    <cacheHierarchy uniqueName="[F_国内債券明細_時価評価].[基準日]" caption="基準日" attribute="1" time="1" defaultMemberUniqueName="[F_国内債券明細_時価評価].[基準日].[All]" allUniqueName="[F_国内債券明細_時価評価].[基準日].[All]" dimensionUniqueName="[F_国内債券明細_時価評価]" displayFolder="" count="2" memberValueDatatype="7" unbalanced="0" hidden="1"/>
    <cacheHierarchy uniqueName="[F_国内債券明細_時価評価].[時価]" caption="時価" attribute="1" defaultMemberUniqueName="[F_国内債券明細_時価評価].[時価].[All]" allUniqueName="[F_国内債券明細_時価評価].[時価].[All]" dimensionUniqueName="[F_国内債券明細_時価評価]" displayFolder="" count="2" memberValueDatatype="5" unbalanced="0" hidden="1"/>
    <cacheHierarchy uniqueName="[F_国内債券明細_時価評価].[修正デュレーション]" caption="修正デュレーション" attribute="1" defaultMemberUniqueName="[F_国内債券明細_時価評価].[修正デュレーション].[All]" allUniqueName="[F_国内債券明細_時価評価].[修正デュレーション].[All]" dimensionUniqueName="[F_国内債券明細_時価評価]" displayFolder="" count="2" memberValueDatatype="5" unbalanced="0" hidden="1"/>
    <cacheHierarchy uniqueName="[F_国内債券明細_時価評価].[簿価]" caption="簿価" attribute="1" defaultMemberUniqueName="[F_国内債券明細_時価評価].[簿価].[All]" allUniqueName="[F_国内債券明細_時価評価].[簿価].[All]" dimensionUniqueName="[F_国内債券明細_時価評価]" displayFolder="" count="2" memberValueDatatype="20" unbalanced="0" hidden="1"/>
    <cacheHierarchy uniqueName="[F_国内債券明細_時価評価].[銘柄]" caption="銘柄" attribute="1" defaultMemberUniqueName="[F_国内債券明細_時価評価].[銘柄].[All]" allUniqueName="[F_国内債券明細_時価評価].[銘柄].[All]" dimensionUniqueName="[F_国内債券明細_時価評価]" displayFolder="" count="2" memberValueDatatype="130" unbalanced="0" hidden="1"/>
    <cacheHierarchy uniqueName="[F_国内債券明細_時価評価].[利率]" caption="利率" attribute="1" defaultMemberUniqueName="[F_国内債券明細_時価評価].[利率].[All]" allUniqueName="[F_国内債券明細_時価評価].[利率].[All]" dimensionUniqueName="[F_国内債券明細_時価評価]" displayFolder="" count="2" memberValueDatatype="5" unbalanced="0" hidden="1"/>
    <cacheHierarchy uniqueName="[Measures].[カウント / 日付]" caption="カウント / 日付" measure="1" displayFolder="" measureGroup="C_カレンダー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_利率]" caption="M_利率" measure="1" displayFolder="" measureGroup="F_国内債券明細_時価評価" count="0"/>
    <cacheHierarchy uniqueName="[Measures].[M_簿価]" caption="M_簿価" measure="1" displayFolder="" measureGroup="F_国内債券明細_時価評価" count="0"/>
    <cacheHierarchy uniqueName="[Measures].[M_時価]" caption="M_時価" measure="1" displayFolder="" measureGroup="F_国内債券明細_時価評価" count="0"/>
    <cacheHierarchy uniqueName="[Measures].[M_評価損益]" caption="M_評価損益" measure="1" displayFolder="" measureGroup="F_国内債券明細_時価評価" count="0"/>
    <cacheHierarchy uniqueName="[Measures].[M_修正Dur]" caption="M_修正Dur" measure="1" displayFolder="" measureGroup="F_国内債券明細_時価評価" count="0"/>
    <cacheHierarchy uniqueName="[Measures].[__XL_Count F_国内債券明細_時価評価]" caption="__XL_Count F_国内債券明細_時価評価" measure="1" displayFolder="" measureGroup="F_国内債券明細_時価評価" count="0" hidden="1"/>
    <cacheHierarchy uniqueName="[Measures].[__XL_Count Calendar]" caption="__XL_Count Calendar" measure="1" displayFolder="" measureGroup="C_カレンダー" count="0" hidden="1"/>
    <cacheHierarchy uniqueName="[Measures].[__XL_Count D_銘柄分類]" caption="__XL_Count D_銘柄分類" measure="1" displayFolder="" measureGroup="D_銘柄分類" count="0" hidden="1"/>
    <cacheHierarchy uniqueName="[Measures].[__No measures defined]" caption="__No measures defined" measure="1" displayFolder="" count="0" hidden="1"/>
  </cacheHierarchies>
  <kpis count="0"/>
  <tupleCache>
    <entries count="35">
      <n v="1.1127068062827225E-2" in="0">
        <tpls c="3">
          <tpl fld="0" item="9"/>
          <tpl hier="6" item="4294967295"/>
          <tpl fld="1" item="2"/>
        </tpls>
      </n>
      <n v="300000000" in="1">
        <tpls c="3">
          <tpl fld="0" item="9"/>
          <tpl fld="2" item="3"/>
          <tpl fld="1" item="0"/>
        </tpls>
      </n>
      <n v="38200000000" in="1">
        <tpls c="3">
          <tpl fld="0" item="9"/>
          <tpl hier="6" item="4294967295"/>
          <tpl fld="1" item="0"/>
        </tpls>
      </n>
      <n v="11900000000" in="1">
        <tpls c="3">
          <tpl fld="0" item="9"/>
          <tpl fld="2" item="2"/>
          <tpl fld="1" item="0"/>
        </tpls>
      </n>
      <n v="1.9894999999999999E-2" in="0">
        <tpls c="3">
          <tpl fld="0" item="9"/>
          <tpl fld="2" item="0"/>
          <tpl fld="1" item="2"/>
        </tpls>
      </n>
      <n v="5.1442418105304473" in="0">
        <tpls c="3">
          <tpl fld="0" item="9"/>
          <tpl fld="2" item="0"/>
          <tpl fld="1" item="4"/>
        </tpls>
      </n>
      <n v="2.7310153577858181" in="0">
        <tpls c="3">
          <tpl fld="0" item="9"/>
          <tpl fld="2" item="2"/>
          <tpl fld="1" item="4"/>
        </tpls>
      </n>
      <n v="4.2000000000000002E-4" in="0">
        <tpls c="3">
          <tpl fld="0" item="9"/>
          <tpl fld="2" item="3"/>
          <tpl fld="1" item="2"/>
        </tpls>
      </n>
      <n v="20000000000" in="1">
        <tpls c="3">
          <tpl fld="0" item="9"/>
          <tpl fld="2" item="0"/>
          <tpl fld="1" item="0"/>
        </tpls>
      </n>
      <n v="1.1956302521008402E-3" in="0">
        <tpls c="3">
          <tpl fld="0" item="9"/>
          <tpl fld="2" item="2"/>
          <tpl fld="1" item="2"/>
        </tpls>
      </n>
      <n v="4.1034098096757914" in="0">
        <tpls c="3">
          <tpl fld="0" item="9"/>
          <tpl hier="6" item="4294967295"/>
          <tpl fld="1" item="4"/>
        </tpls>
      </n>
      <n v="6000000000" in="1">
        <tpls c="3">
          <tpl fld="0" item="9"/>
          <tpl fld="2" item="1"/>
          <tpl fld="1" item="0"/>
        </tpls>
      </n>
      <n v="3.5451177654159141" in="0">
        <tpls c="3">
          <tpl fld="0" item="9"/>
          <tpl fld="2" item="1"/>
          <tpl fld="1" item="4"/>
        </tpls>
      </n>
      <n v="0.31876389619855294" in="0">
        <tpls c="3">
          <tpl fld="0" item="9"/>
          <tpl fld="2" item="3"/>
          <tpl fld="1" item="4"/>
        </tpls>
      </n>
      <n v="2.1333333333333334E-3" in="0">
        <tpls c="3">
          <tpl fld="0" item="9"/>
          <tpl fld="2" item="1"/>
          <tpl fld="1" item="2"/>
        </tpls>
      </n>
      <n v="1249634082.9467163" in="0">
        <tpls c="3">
          <tpl fld="0" item="1"/>
          <tpl fld="2" item="0"/>
          <tpl fld="1" item="3"/>
        </tpls>
      </n>
      <n v="-366873.94138532877" in="0">
        <tpls c="3">
          <tpl fld="0" item="9"/>
          <tpl fld="2" item="3"/>
          <tpl fld="1" item="3"/>
        </tpls>
      </n>
      <n v="299633126.05861467" in="1">
        <tpls c="3">
          <tpl fld="0" item="9"/>
          <tpl fld="2" item="3"/>
          <tpl fld="1" item="1"/>
        </tpls>
      </n>
      <n v="-148441189.39639854" in="0">
        <tpls c="3">
          <tpl fld="0" item="9"/>
          <tpl fld="2" item="2"/>
          <tpl fld="1" item="3"/>
        </tpls>
      </n>
      <n v="796915095.88111115" in="0">
        <tpls c="3">
          <tpl fld="0" item="9"/>
          <tpl hier="6" item="4294967295"/>
          <tpl fld="1" item="3"/>
        </tpls>
      </n>
      <n v="1022906296.1116219" in="0">
        <tpls c="3">
          <tpl fld="0" item="9"/>
          <tpl fld="2" item="0"/>
          <tpl fld="1" item="3"/>
        </tpls>
      </n>
      <n v="21022906296.111622" in="1">
        <tpls c="3">
          <tpl fld="0" item="9"/>
          <tpl fld="2" item="0"/>
          <tpl fld="1" item="1"/>
        </tpls>
      </n>
      <n v="-72874947.163106918" in="0">
        <tpls c="3">
          <tpl fld="0" item="1"/>
          <tpl fld="2" item="1"/>
          <tpl fld="1" item="3"/>
        </tpls>
      </n>
      <n v="-285026.11075669527" in="0">
        <tpls c="3">
          <tpl fld="0" item="7"/>
          <tpl fld="2" item="3"/>
          <tpl fld="1" item="3"/>
        </tpls>
      </n>
      <n v="-159708401.27845383" in="0">
        <tpls c="3">
          <tpl fld="0" item="1"/>
          <tpl fld="2" item="2"/>
          <tpl fld="1" item="3"/>
        </tpls>
      </n>
      <n v="-77183136.892726898" in="0">
        <tpls c="3">
          <tpl fld="0" item="9"/>
          <tpl fld="2" item="1"/>
          <tpl fld="1" item="3"/>
        </tpls>
      </n>
      <n v="-546303.37486451864" in="0">
        <tpls c="3">
          <tpl fld="0" item="1"/>
          <tpl fld="2" item="3"/>
          <tpl fld="1" item="3"/>
        </tpls>
      </n>
      <n v="-96531127.124862671" in="0">
        <tpls c="3">
          <tpl fld="0" item="7"/>
          <tpl fld="2" item="2"/>
          <tpl fld="1" item="3"/>
        </tpls>
      </n>
      <n v="5922816863.1072731" in="1">
        <tpls c="3">
          <tpl fld="0" item="9"/>
          <tpl fld="2" item="1"/>
          <tpl fld="1" item="1"/>
        </tpls>
      </n>
      <n v="-35755923.67368412" in="0">
        <tpls c="3">
          <tpl fld="0" item="7"/>
          <tpl fld="2" item="1"/>
          <tpl fld="1" item="3"/>
        </tpls>
      </n>
      <n v="1016504431.1302795" in="0">
        <tpls c="3">
          <tpl fld="0" item="1"/>
          <tpl hier="6" item="4294967295"/>
          <tpl fld="1" item="3"/>
        </tpls>
      </n>
      <n v="1432216512.5632973" in="0">
        <tpls c="3">
          <tpl fld="0" item="7"/>
          <tpl fld="2" item="0"/>
          <tpl fld="1" item="3"/>
        </tpls>
      </n>
      <n v="38996915095.881111" in="1">
        <tpls c="3">
          <tpl fld="0" item="9"/>
          <tpl hier="6" item="4294967295"/>
          <tpl fld="1" item="1"/>
        </tpls>
      </n>
      <n v="1299644435.6539917" in="0">
        <tpls c="3">
          <tpl fld="0" item="7"/>
          <tpl hier="6" item="4294967295"/>
          <tpl fld="1" item="3"/>
        </tpls>
      </n>
      <n v="11751558810.603601" in="1">
        <tpls c="3">
          <tpl fld="0" item="9"/>
          <tpl fld="2" item="2"/>
          <tpl fld="1" item="1"/>
        </tpls>
      </n>
    </entries>
    <queryCache count="22">
      <query mdx="[C_カレンダー].[年月].[2025年03月]">
        <tpls c="1">
          <tpl fld="0" item="0"/>
        </tpls>
      </query>
      <query mdx="[C_カレンダー].[年月].[2024年11月]">
        <tpls c="1">
          <tpl fld="0" item="1"/>
        </tpls>
      </query>
      <query mdx="[C_カレンダー].[年月].[2024年07月]">
        <tpls c="1">
          <tpl fld="0" item="2"/>
        </tpls>
      </query>
      <query mdx="[C_カレンダー].[年月].[2025年02月]">
        <tpls c="1">
          <tpl fld="0" item="3"/>
        </tpls>
      </query>
      <query mdx="[C_カレンダー].[年月].[2024年10月]">
        <tpls c="1">
          <tpl fld="0" item="4"/>
        </tpls>
      </query>
      <query mdx="[C_カレンダー].[年月].[2024年06月]">
        <tpls c="1">
          <tpl fld="0" item="5"/>
        </tpls>
      </query>
      <query mdx="[C_カレンダー].[年月].[2025年01月]">
        <tpls c="1">
          <tpl fld="0" item="6"/>
        </tpls>
      </query>
      <query mdx="[C_カレンダー].[年月].[2024年09月]">
        <tpls c="1">
          <tpl fld="0" item="7"/>
        </tpls>
      </query>
      <query mdx="[C_カレンダー].[年月].[2024年05月]">
        <tpls c="1">
          <tpl fld="0" item="8"/>
        </tpls>
      </query>
      <query mdx="[C_カレンダー].[年月].[2024年12月]">
        <tpls c="1">
          <tpl fld="0" item="9"/>
        </tpls>
      </query>
      <query mdx="[C_カレンダー].[年月].[2024年08月]">
        <tpls c="1">
          <tpl fld="0" item="10"/>
        </tpls>
      </query>
      <query mdx="[C_カレンダー].[年月].[2024年04月]">
        <tpls c="1">
          <tpl fld="0" item="11"/>
        </tpls>
      </query>
      <query mdx="[Measures].[M_簿価]">
        <tpls c="1">
          <tpl fld="1" item="0"/>
        </tpls>
      </query>
      <query mdx="[D_銘柄分類].[分類].[All]">
        <tpls c="1">
          <tpl hier="6" item="4294967295"/>
        </tpls>
      </query>
      <query mdx="[D_銘柄分類].[分類].[超長期]">
        <tpls c="1">
          <tpl fld="2" item="0"/>
        </tpls>
      </query>
      <query mdx="[D_銘柄分類].[分類].[長期]">
        <tpls c="1">
          <tpl fld="2" item="1"/>
        </tpls>
      </query>
      <query mdx="[D_銘柄分類].[分類].[中期]">
        <tpls c="1">
          <tpl fld="2" item="2"/>
        </tpls>
      </query>
      <query mdx="[D_銘柄分類].[分類].[短期]">
        <tpls c="1">
          <tpl fld="2" item="3"/>
        </tpls>
      </query>
      <query mdx="[Measures].[M_時価]">
        <tpls c="1">
          <tpl fld="1" item="1"/>
        </tpls>
      </query>
      <query mdx="[Measures].[M_利率]">
        <tpls c="1">
          <tpl fld="1" item="2"/>
        </tpls>
      </query>
      <query mdx="[Measures].[M_評価損益]">
        <tpls c="1">
          <tpl fld="1" item="3"/>
        </tpls>
      </query>
      <query mdx="[Measures].[M_修正Dur]">
        <tpls c="1">
          <tpl fld="1" item="4"/>
        </tpls>
      </query>
    </queryCache>
    <serverFormats count="2">
      <serverFormat format="#,0.00"/>
      <serverFormat format="#,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成者" refreshedDate="45984.852926388892" backgroundQuery="1" createdVersion="8" refreshedVersion="8" minRefreshableVersion="3" recordCount="0" supportSubquery="1" supportAdvancedDrill="1" xr:uid="{39B5A13D-0F22-4D33-B140-4D84B873361D}">
  <cacheSource type="external" connectionId="2"/>
  <cacheFields count="10">
    <cacheField name="[C_カレンダー].[Date Hierarchy].[Year]" caption="Year" numFmtId="0" level="1">
      <sharedItems containsSemiMixedTypes="0" containsNonDate="0" containsString="0"/>
    </cacheField>
    <cacheField name="[C_カレンダー].[Date Hierarchy].[DateColumn]" caption="DateColumn" numFmtId="0" level="2">
      <sharedItems containsSemiMixedTypes="0" containsNonDate="0" containsString="0"/>
    </cacheField>
    <cacheField name="[C_カレンダー].[年月].[年月]" caption="年月" numFmtId="0" hierarchy="4" level="1">
      <sharedItems containsSemiMixedTypes="0" containsNonDate="0" containsString="0"/>
    </cacheField>
    <cacheField name="[Measures].[M_簿価]" caption="M_簿価" numFmtId="0" hierarchy="20" level="32767"/>
    <cacheField name="[Measures].[M_時価]" caption="M_時価" numFmtId="0" hierarchy="21" level="32767"/>
    <cacheField name="[Measures].[M_評価損益]" caption="M_評価損益" numFmtId="0" hierarchy="22" level="32767"/>
    <cacheField name="[D_銘柄分類].[銘柄分類].[分類]" caption="分類" numFmtId="0" hierarchy="9" level="1">
      <sharedItems count="4">
        <s v="短期"/>
        <s v="中期"/>
        <s v="長期"/>
        <s v="超長期"/>
      </sharedItems>
      <extLst>
        <ext xmlns:x15="http://schemas.microsoft.com/office/spreadsheetml/2010/11/main" uri="{4F2E5C28-24EA-4eb8-9CBF-B6C8F9C3D259}">
          <x15:cachedUniqueNames>
            <x15:cachedUniqueName index="0" name="[D_銘柄分類].[銘柄分類].[分類].&amp;[短期]"/>
            <x15:cachedUniqueName index="1" name="[D_銘柄分類].[銘柄分類].[分類].&amp;[中期]"/>
            <x15:cachedUniqueName index="2" name="[D_銘柄分類].[銘柄分類].[分類].&amp;[長期]"/>
            <x15:cachedUniqueName index="3" name="[D_銘柄分類].[銘柄分類].[分類].&amp;[超長期]"/>
          </x15:cachedUniqueNames>
        </ext>
      </extLst>
    </cacheField>
    <cacheField name="[D_銘柄分類].[銘柄分類].[銘柄]" caption="銘柄" numFmtId="0" hierarchy="9" level="2">
      <sharedItems count="8">
        <s v="第448回利付国庫債券（2年）"/>
        <s v="第153回利付国庫債券（5年）"/>
        <s v="第169回利付国庫債券（5年）"/>
        <s v="第170回利付国庫債券（5年）"/>
        <s v="第347回利付国庫債券（10年）"/>
        <s v="第375回利付国庫債券（10年）"/>
        <s v="第95回利付国庫債券（20年）"/>
        <s v="第145回利付国庫債券（20年）"/>
      </sharedItems>
      <extLst>
        <ext xmlns:x15="http://schemas.microsoft.com/office/spreadsheetml/2010/11/main" uri="{4F2E5C28-24EA-4eb8-9CBF-B6C8F9C3D259}">
          <x15:cachedUniqueNames>
            <x15:cachedUniqueName index="0" name="[D_銘柄分類].[銘柄分類].[銘柄].&amp;[第448回利付国庫債券（2年）]"/>
            <x15:cachedUniqueName index="1" name="[D_銘柄分類].[銘柄分類].[銘柄].&amp;[第153回利付国庫債券（5年）]"/>
            <x15:cachedUniqueName index="2" name="[D_銘柄分類].[銘柄分類].[銘柄].&amp;[第169回利付国庫債券（5年）]"/>
            <x15:cachedUniqueName index="3" name="[D_銘柄分類].[銘柄分類].[銘柄].&amp;[第170回利付国庫債券（5年）]"/>
            <x15:cachedUniqueName index="4" name="[D_銘柄分類].[銘柄分類].[銘柄].&amp;[第347回利付国庫債券（10年）]"/>
            <x15:cachedUniqueName index="5" name="[D_銘柄分類].[銘柄分類].[銘柄].&amp;[第375回利付国庫債券（10年）]"/>
            <x15:cachedUniqueName index="6" name="[D_銘柄分類].[銘柄分類].[銘柄].&amp;[第95回利付国庫債券（20年）]"/>
            <x15:cachedUniqueName index="7" name="[D_銘柄分類].[銘柄分類].[銘柄].&amp;[第145回利付国庫債券（20年）]"/>
          </x15:cachedUniqueNames>
        </ext>
      </extLst>
    </cacheField>
    <cacheField name="[Measures].[M_利率]" caption="M_利率" numFmtId="0" hierarchy="19" level="32767"/>
    <cacheField name="[Measures].[M_修正Dur]" caption="M_修正Dur" numFmtId="0" hierarchy="23" level="32767"/>
  </cacheFields>
  <cacheHierarchies count="28">
    <cacheHierarchy uniqueName="[C_カレンダー].[Date Hierarchy]" caption="Date Hierarchy" time="1" defaultMemberUniqueName="[C_カレンダー].[Date Hierarchy].[All]" allUniqueName="[C_カレンダー].[Date Hierarchy].[All]" dimensionUniqueName="[C_カレンダー]" displayFolder="" count="3" unbalanced="0">
      <fieldsUsage count="3">
        <fieldUsage x="-1"/>
        <fieldUsage x="0"/>
        <fieldUsage x="1"/>
      </fieldsUsage>
    </cacheHierarchy>
    <cacheHierarchy uniqueName="[C_カレンダー].[日付]" caption="日付" attribute="1" time="1" keyAttribute="1" defaultMemberUniqueName="[C_カレンダー].[日付].[All]" allUniqueName="[C_カレンダー].[日付].[All]" dimensionUniqueName="[C_カレンダー]" displayFolder="" count="0" memberValueDatatype="7" unbalanced="0"/>
    <cacheHierarchy uniqueName="[C_カレンダー].[年（数値）]" caption="年（数値）" attribute="1" time="1" defaultMemberUniqueName="[C_カレンダー].[年（数値）].[All]" allUniqueName="[C_カレンダー].[年（数値）].[All]" dimensionUniqueName="[C_カレンダー]" displayFolder="" count="0" memberValueDatatype="20" unbalanced="0"/>
    <cacheHierarchy uniqueName="[C_カレンダー].[月（数値）]" caption="月（数値）" attribute="1" time="1" defaultMemberUniqueName="[C_カレンダー].[月（数値）].[All]" allUniqueName="[C_カレンダー].[月（数値）].[All]" dimensionUniqueName="[C_カレンダー]" displayFolder="" count="0" memberValueDatatype="20" unbalanced="0"/>
    <cacheHierarchy uniqueName="[C_カレンダー].[年月]" caption="年月" attribute="1" time="1" defaultMemberUniqueName="[C_カレンダー].[年月].[All]" allUniqueName="[C_カレンダー].[年月].[All]" dimensionUniqueName="[C_カレンダー]" displayFolder="" count="2" memberValueDatatype="130" unbalanced="0">
      <fieldsUsage count="2">
        <fieldUsage x="-1"/>
        <fieldUsage x="2"/>
      </fieldsUsage>
    </cacheHierarchy>
    <cacheHierarchy uniqueName="[D_銘柄分類].[銘柄]" caption="銘柄" attribute="1" defaultMemberUniqueName="[D_銘柄分類].[銘柄].[All]" allUniqueName="[D_銘柄分類].[銘柄].[All]" dimensionUniqueName="[D_銘柄分類]" displayFolder="" count="0" memberValueDatatype="130" unbalanced="0"/>
    <cacheHierarchy uniqueName="[D_銘柄分類].[分類]" caption="分類" attribute="1" defaultMemberUniqueName="[D_銘柄分類].[分類].[All]" allUniqueName="[D_銘柄分類].[分類].[All]" dimensionUniqueName="[D_銘柄分類]" displayFolder="" count="0" memberValueDatatype="130" unbalanced="0"/>
    <cacheHierarchy uniqueName="[D_銘柄分類].[回号]" caption="回号" attribute="1" defaultMemberUniqueName="[D_銘柄分類].[回号].[All]" allUniqueName="[D_銘柄分類].[回号].[All]" dimensionUniqueName="[D_銘柄分類]" displayFolder="" count="0" memberValueDatatype="20" unbalanced="0"/>
    <cacheHierarchy uniqueName="[D_銘柄分類].[満期]" caption="満期" attribute="1" defaultMemberUniqueName="[D_銘柄分類].[満期].[All]" allUniqueName="[D_銘柄分類].[満期].[All]" dimensionUniqueName="[D_銘柄分類]" displayFolder="" count="0" memberValueDatatype="20" unbalanced="0"/>
    <cacheHierarchy uniqueName="[D_銘柄分類].[銘柄分類]" caption="銘柄分類" defaultMemberUniqueName="[D_銘柄分類].[銘柄分類].[All]" allUniqueName="[D_銘柄分類].[銘柄分類].[All]" dimensionUniqueName="[D_銘柄分類]" displayFolder="" count="3" unbalanced="0">
      <fieldsUsage count="3">
        <fieldUsage x="-1"/>
        <fieldUsage x="6"/>
        <fieldUsage x="7"/>
      </fieldsUsage>
    </cacheHierarchy>
    <cacheHierarchy uniqueName="[F_国内債券明細_時価評価].[発行日]" caption="発行日" attribute="1" time="1" defaultMemberUniqueName="[F_国内債券明細_時価評価].[発行日].[All]" allUniqueName="[F_国内債券明細_時価評価].[発行日].[All]" dimensionUniqueName="[F_国内債券明細_時価評価]" displayFolder="" count="0" memberValueDatatype="7" unbalanced="0"/>
    <cacheHierarchy uniqueName="[F_国内債券明細_時価評価].[償還日]" caption="償還日" attribute="1" time="1" defaultMemberUniqueName="[F_国内債券明細_時価評価].[償還日].[All]" allUniqueName="[F_国内債券明細_時価評価].[償還日].[All]" dimensionUniqueName="[F_国内債券明細_時価評価]" displayFolder="" count="0" memberValueDatatype="7" unbalanced="0"/>
    <cacheHierarchy uniqueName="[F_国内債券明細_時価評価].[基準日]" caption="基準日" attribute="1" time="1" defaultMemberUniqueName="[F_国内債券明細_時価評価].[基準日].[All]" allUniqueName="[F_国内債券明細_時価評価].[基準日].[All]" dimensionUniqueName="[F_国内債券明細_時価評価]" displayFolder="" count="0" memberValueDatatype="7" unbalanced="0" hidden="1"/>
    <cacheHierarchy uniqueName="[F_国内債券明細_時価評価].[時価]" caption="時価" attribute="1" defaultMemberUniqueName="[F_国内債券明細_時価評価].[時価].[All]" allUniqueName="[F_国内債券明細_時価評価].[時価].[All]" dimensionUniqueName="[F_国内債券明細_時価評価]" displayFolder="" count="0" memberValueDatatype="5" unbalanced="0" hidden="1"/>
    <cacheHierarchy uniqueName="[F_国内債券明細_時価評価].[修正デュレーション]" caption="修正デュレーション" attribute="1" defaultMemberUniqueName="[F_国内債券明細_時価評価].[修正デュレーション].[All]" allUniqueName="[F_国内債券明細_時価評価].[修正デュレーション].[All]" dimensionUniqueName="[F_国内債券明細_時価評価]" displayFolder="" count="0" memberValueDatatype="5" unbalanced="0" hidden="1"/>
    <cacheHierarchy uniqueName="[F_国内債券明細_時価評価].[簿価]" caption="簿価" attribute="1" defaultMemberUniqueName="[F_国内債券明細_時価評価].[簿価].[All]" allUniqueName="[F_国内債券明細_時価評価].[簿価].[All]" dimensionUniqueName="[F_国内債券明細_時価評価]" displayFolder="" count="0" memberValueDatatype="20" unbalanced="0" hidden="1"/>
    <cacheHierarchy uniqueName="[F_国内債券明細_時価評価].[銘柄]" caption="銘柄" attribute="1" defaultMemberUniqueName="[F_国内債券明細_時価評価].[銘柄].[All]" allUniqueName="[F_国内債券明細_時価評価].[銘柄].[All]" dimensionUniqueName="[F_国内債券明細_時価評価]" displayFolder="" count="0" memberValueDatatype="130" unbalanced="0" hidden="1"/>
    <cacheHierarchy uniqueName="[F_国内債券明細_時価評価].[利率]" caption="利率" attribute="1" defaultMemberUniqueName="[F_国内債券明細_時価評価].[利率].[All]" allUniqueName="[F_国内債券明細_時価評価].[利率].[All]" dimensionUniqueName="[F_国内債券明細_時価評価]" displayFolder="" count="0" memberValueDatatype="5" unbalanced="0" hidden="1"/>
    <cacheHierarchy uniqueName="[Measures].[カウント / 日付]" caption="カウント / 日付" measure="1" displayFolder="" measureGroup="C_カレンダー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_利率]" caption="M_利率" measure="1" displayFolder="" measureGroup="F_国内債券明細_時価評価" count="0" oneField="1">
      <fieldsUsage count="1">
        <fieldUsage x="8"/>
      </fieldsUsage>
    </cacheHierarchy>
    <cacheHierarchy uniqueName="[Measures].[M_簿価]" caption="M_簿価" measure="1" displayFolder="" measureGroup="F_国内債券明細_時価評価" count="0" oneField="1">
      <fieldsUsage count="1">
        <fieldUsage x="3"/>
      </fieldsUsage>
    </cacheHierarchy>
    <cacheHierarchy uniqueName="[Measures].[M_時価]" caption="M_時価" measure="1" displayFolder="" measureGroup="F_国内債券明細_時価評価" count="0" oneField="1">
      <fieldsUsage count="1">
        <fieldUsage x="4"/>
      </fieldsUsage>
    </cacheHierarchy>
    <cacheHierarchy uniqueName="[Measures].[M_評価損益]" caption="M_評価損益" measure="1" displayFolder="" measureGroup="F_国内債券明細_時価評価" count="0" oneField="1">
      <fieldsUsage count="1">
        <fieldUsage x="5"/>
      </fieldsUsage>
    </cacheHierarchy>
    <cacheHierarchy uniqueName="[Measures].[M_修正Dur]" caption="M_修正Dur" measure="1" displayFolder="" measureGroup="F_国内債券明細_時価評価" count="0" oneField="1">
      <fieldsUsage count="1">
        <fieldUsage x="9"/>
      </fieldsUsage>
    </cacheHierarchy>
    <cacheHierarchy uniqueName="[Measures].[__XL_Count F_国内債券明細_時価評価]" caption="__XL_Count F_国内債券明細_時価評価" measure="1" displayFolder="" measureGroup="F_国内債券明細_時価評価" count="0" hidden="1"/>
    <cacheHierarchy uniqueName="[Measures].[__XL_Count Calendar]" caption="__XL_Count Calendar" measure="1" displayFolder="" measureGroup="C_カレンダー" count="0" hidden="1"/>
    <cacheHierarchy uniqueName="[Measures].[__XL_Count D_銘柄分類]" caption="__XL_Count D_銘柄分類" measure="1" displayFolder="" measureGroup="D_銘柄分類" count="0" hidden="1"/>
    <cacheHierarchy uniqueName="[Measures].[__No measures defined]" caption="__No measures defined" measure="1" displayFolder="" count="0" hidden="1"/>
  </cacheHierarchies>
  <kpis count="0"/>
  <dimensions count="4">
    <dimension name="C_カレンダー" uniqueName="[C_カレンダー]" caption="C_カレンダー"/>
    <dimension name="D_銘柄分類" uniqueName="[D_銘柄分類]" caption="D_銘柄分類"/>
    <dimension name="F_国内債券明細_時価評価" uniqueName="[F_国内債券明細_時価評価]" caption="F_国内債券明細_時価評価"/>
    <dimension measure="1" name="Measures" uniqueName="[Measures]" caption="Measures"/>
  </dimensions>
  <measureGroups count="3">
    <measureGroup name="C_カレンダー" caption="C_カレンダー"/>
    <measureGroup name="D_銘柄分類" caption="D_銘柄分類"/>
    <measureGroup name="F_国内債券明細_時価評価" caption="F_国内債券明細_時価評価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成者" refreshedDate="45984.842050578707" backgroundQuery="1" createdVersion="3" refreshedVersion="8" minRefreshableVersion="3" recordCount="0" supportSubquery="1" supportAdvancedDrill="1" xr:uid="{41A37D2D-3FB8-4404-A74D-94544F9D649C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C_カレンダー].[Date Hierarchy]" caption="Date Hierarchy" time="1" defaultMemberUniqueName="[C_カレンダー].[Date Hierarchy].[All]" allUniqueName="[C_カレンダー].[Date Hierarchy].[All]" dimensionUniqueName="[C_カレンダー]" displayFolder="" count="0" unbalanced="0"/>
    <cacheHierarchy uniqueName="[C_カレンダー].[日付]" caption="日付" attribute="1" time="1" keyAttribute="1" defaultMemberUniqueName="[C_カレンダー].[日付].[All]" allUniqueName="[C_カレンダー].[日付].[All]" dimensionUniqueName="[C_カレンダー]" displayFolder="" count="0" memberValueDatatype="7" unbalanced="0"/>
    <cacheHierarchy uniqueName="[C_カレンダー].[年（数値）]" caption="年（数値）" attribute="1" time="1" defaultMemberUniqueName="[C_カレンダー].[年（数値）].[All]" allUniqueName="[C_カレンダー].[年（数値）].[All]" dimensionUniqueName="[C_カレンダー]" displayFolder="" count="0" memberValueDatatype="20" unbalanced="0"/>
    <cacheHierarchy uniqueName="[C_カレンダー].[月（数値）]" caption="月（数値）" attribute="1" time="1" defaultMemberUniqueName="[C_カレンダー].[月（数値）].[All]" allUniqueName="[C_カレンダー].[月（数値）].[All]" dimensionUniqueName="[C_カレンダー]" displayFolder="" count="0" memberValueDatatype="20" unbalanced="0"/>
    <cacheHierarchy uniqueName="[C_カレンダー].[年月]" caption="年月" attribute="1" time="1" defaultMemberUniqueName="[C_カレンダー].[年月].[All]" allUniqueName="[C_カレンダー].[年月].[All]" dimensionUniqueName="[C_カレンダー]" displayFolder="" count="2" memberValueDatatype="130" unbalanced="0"/>
    <cacheHierarchy uniqueName="[D_銘柄分類].[銘柄]" caption="銘柄" attribute="1" defaultMemberUniqueName="[D_銘柄分類].[銘柄].[All]" allUniqueName="[D_銘柄分類].[銘柄].[All]" dimensionUniqueName="[D_銘柄分類]" displayFolder="" count="0" memberValueDatatype="130" unbalanced="0"/>
    <cacheHierarchy uniqueName="[D_銘柄分類].[分類]" caption="分類" attribute="1" defaultMemberUniqueName="[D_銘柄分類].[分類].[All]" allUniqueName="[D_銘柄分類].[分類].[All]" dimensionUniqueName="[D_銘柄分類]" displayFolder="" count="0" memberValueDatatype="130" unbalanced="0"/>
    <cacheHierarchy uniqueName="[D_銘柄分類].[回号]" caption="回号" attribute="1" defaultMemberUniqueName="[D_銘柄分類].[回号].[All]" allUniqueName="[D_銘柄分類].[回号].[All]" dimensionUniqueName="[D_銘柄分類]" displayFolder="" count="0" memberValueDatatype="20" unbalanced="0"/>
    <cacheHierarchy uniqueName="[D_銘柄分類].[満期]" caption="満期" attribute="1" defaultMemberUniqueName="[D_銘柄分類].[満期].[All]" allUniqueName="[D_銘柄分類].[満期].[All]" dimensionUniqueName="[D_銘柄分類]" displayFolder="" count="0" memberValueDatatype="20" unbalanced="0"/>
    <cacheHierarchy uniqueName="[D_銘柄分類].[銘柄分類]" caption="銘柄分類" defaultMemberUniqueName="[D_銘柄分類].[銘柄分類].[All]" allUniqueName="[D_銘柄分類].[銘柄分類].[All]" dimensionUniqueName="[D_銘柄分類]" displayFolder="" count="0" unbalanced="0"/>
    <cacheHierarchy uniqueName="[F_国内債券明細_時価評価].[発行日]" caption="発行日" attribute="1" time="1" defaultMemberUniqueName="[F_国内債券明細_時価評価].[発行日].[All]" allUniqueName="[F_国内債券明細_時価評価].[発行日].[All]" dimensionUniqueName="[F_国内債券明細_時価評価]" displayFolder="" count="0" memberValueDatatype="7" unbalanced="0"/>
    <cacheHierarchy uniqueName="[F_国内債券明細_時価評価].[償還日]" caption="償還日" attribute="1" time="1" defaultMemberUniqueName="[F_国内債券明細_時価評価].[償還日].[All]" allUniqueName="[F_国内債券明細_時価評価].[償還日].[All]" dimensionUniqueName="[F_国内債券明細_時価評価]" displayFolder="" count="0" memberValueDatatype="7" unbalanced="0"/>
    <cacheHierarchy uniqueName="[F_国内債券明細_時価評価].[基準日]" caption="基準日" attribute="1" time="1" defaultMemberUniqueName="[F_国内債券明細_時価評価].[基準日].[All]" allUniqueName="[F_国内債券明細_時価評価].[基準日].[All]" dimensionUniqueName="[F_国内債券明細_時価評価]" displayFolder="" count="0" memberValueDatatype="7" unbalanced="0" hidden="1"/>
    <cacheHierarchy uniqueName="[F_国内債券明細_時価評価].[時価]" caption="時価" attribute="1" defaultMemberUniqueName="[F_国内債券明細_時価評価].[時価].[All]" allUniqueName="[F_国内債券明細_時価評価].[時価].[All]" dimensionUniqueName="[F_国内債券明細_時価評価]" displayFolder="" count="0" memberValueDatatype="5" unbalanced="0" hidden="1"/>
    <cacheHierarchy uniqueName="[F_国内債券明細_時価評価].[修正デュレーション]" caption="修正デュレーション" attribute="1" defaultMemberUniqueName="[F_国内債券明細_時価評価].[修正デュレーション].[All]" allUniqueName="[F_国内債券明細_時価評価].[修正デュレーション].[All]" dimensionUniqueName="[F_国内債券明細_時価評価]" displayFolder="" count="0" memberValueDatatype="5" unbalanced="0" hidden="1"/>
    <cacheHierarchy uniqueName="[F_国内債券明細_時価評価].[簿価]" caption="簿価" attribute="1" defaultMemberUniqueName="[F_国内債券明細_時価評価].[簿価].[All]" allUniqueName="[F_国内債券明細_時価評価].[簿価].[All]" dimensionUniqueName="[F_国内債券明細_時価評価]" displayFolder="" count="0" memberValueDatatype="20" unbalanced="0" hidden="1"/>
    <cacheHierarchy uniqueName="[F_国内債券明細_時価評価].[銘柄]" caption="銘柄" attribute="1" defaultMemberUniqueName="[F_国内債券明細_時価評価].[銘柄].[All]" allUniqueName="[F_国内債券明細_時価評価].[銘柄].[All]" dimensionUniqueName="[F_国内債券明細_時価評価]" displayFolder="" count="0" memberValueDatatype="130" unbalanced="0" hidden="1"/>
    <cacheHierarchy uniqueName="[F_国内債券明細_時価評価].[利率]" caption="利率" attribute="1" defaultMemberUniqueName="[F_国内債券明細_時価評価].[利率].[All]" allUniqueName="[F_国内債券明細_時価評価].[利率].[All]" dimensionUniqueName="[F_国内債券明細_時価評価]" displayFolder="" count="0" memberValueDatatype="5" unbalanced="0" hidden="1"/>
    <cacheHierarchy uniqueName="[Measures].[カウント / 日付]" caption="カウント / 日付" measure="1" displayFolder="" measureGroup="C_カレンダー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_利率]" caption="M_利率" measure="1" displayFolder="" measureGroup="F_国内債券明細_時価評価" count="0"/>
    <cacheHierarchy uniqueName="[Measures].[M_簿価]" caption="M_簿価" measure="1" displayFolder="" measureGroup="F_国内債券明細_時価評価" count="0"/>
    <cacheHierarchy uniqueName="[Measures].[M_時価]" caption="M_時価" measure="1" displayFolder="" measureGroup="F_国内債券明細_時価評価" count="0"/>
    <cacheHierarchy uniqueName="[Measures].[M_評価損益]" caption="M_評価損益" measure="1" displayFolder="" measureGroup="F_国内債券明細_時価評価" count="0"/>
    <cacheHierarchy uniqueName="[Measures].[M_修正Dur]" caption="M_修正Dur" measure="1" displayFolder="" measureGroup="F_国内債券明細_時価評価" count="0"/>
    <cacheHierarchy uniqueName="[Measures].[__XL_Count F_国内債券明細_時価評価]" caption="__XL_Count F_国内債券明細_時価評価" measure="1" displayFolder="" measureGroup="F_国内債券明細_時価評価" count="0" hidden="1"/>
    <cacheHierarchy uniqueName="[Measures].[__XL_Count Calendar]" caption="__XL_Count Calendar" measure="1" displayFolder="" measureGroup="C_カレンダー" count="0" hidden="1"/>
    <cacheHierarchy uniqueName="[Measures].[__XL_Count D_銘柄分類]" caption="__XL_Count D_銘柄分類" measure="1" displayFolder="" measureGroup="D_銘柄分類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2670352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5A63F-39EE-4DC0-9D57-AAE628A6D6BC}" name="Pivotレポート" cacheId="1" applyNumberFormats="0" applyBorderFormats="0" applyFontFormats="0" applyPatternFormats="0" applyAlignmentFormats="0" applyWidthHeightFormats="1" dataCaption="値" tag="5060cc4f-5c99-413d-a4f6-5a146b60523e" updatedVersion="8" minRefreshableVersion="5" showDrill="0" useAutoFormatting="1" subtotalHiddenItems="1" itemPrintTitles="1" createdVersion="8" indent="0" showHeaders="0" outline="1" outlineData="1" multipleFieldFilters="0">
  <location ref="B4:G21" firstHeaderRow="0" firstDataRow="1" firstDataCol="1"/>
  <pivotFields count="10">
    <pivotField allDrilled="1" subtotalTop="0" showAll="0" dataSourceSort="1" defaultSubtotal="0"/>
    <pivotField subtotalTop="0" showAll="0" dataSourceSort="1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>
      <items count="5">
        <item c="1" x="0" d="1"/>
        <item c="1" x="1" d="1"/>
        <item c="1" x="2" d="1"/>
        <item c="1" x="3" d="1"/>
        <item t="default"/>
      </items>
    </pivotField>
    <pivotField axis="axisRow" subtotalTop="0" showAll="0" dataSourceSort="1" defaultSubtotal="0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2">
    <field x="6"/>
    <field x="7"/>
  </rowFields>
  <rowItems count="17">
    <i>
      <x/>
    </i>
    <i r="1">
      <x/>
    </i>
    <i t="default">
      <x/>
    </i>
    <i>
      <x v="1"/>
    </i>
    <i r="1">
      <x v="1"/>
    </i>
    <i r="1">
      <x v="2"/>
    </i>
    <i r="1">
      <x v="3"/>
    </i>
    <i t="default">
      <x v="1"/>
    </i>
    <i>
      <x v="2"/>
    </i>
    <i r="1">
      <x v="4"/>
    </i>
    <i r="1">
      <x v="5"/>
    </i>
    <i t="default">
      <x v="2"/>
    </i>
    <i>
      <x v="3"/>
    </i>
    <i r="1">
      <x v="6"/>
    </i>
    <i r="1">
      <x v="7"/>
    </i>
    <i t="default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3" subtotal="count" baseField="0" baseItem="0"/>
    <dataField fld="4" subtotal="count" baseField="0" baseItem="0"/>
    <dataField fld="5" subtotal="count" baseField="0" baseItem="0"/>
    <dataField fld="8" subtotal="count" baseField="0" baseItem="0"/>
    <dataField fld="9" subtotal="count" baseField="0" baseItem="0"/>
  </dataFields>
  <pivotHierarchies count="28">
    <pivotHierarchy/>
    <pivotHierarchy dragToData="1"/>
    <pivotHierarchy dragToData="1"/>
    <pivotHierarchy dragToData="1"/>
    <pivotHierarchy multipleItemSelectionAllowed="1" dragToData="1">
      <members count="1" level="1">
        <member name="[C_カレンダー].[年月].&amp;[2024年12月]"/>
      </members>
    </pivotHierarchy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3" name="[C_カレンダー].[日付]">
      <autoFilter ref="A1">
        <filterColumn colId="0">
          <customFilters and="1">
            <customFilter operator="greaterThanOrEqual" val="45597"/>
            <customFilter operator="lessThanOrEqual" val="456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_カレンダー]"/>
        <x15:activeTabTopLevelEntity name="[D_銘柄分類]"/>
        <x15:activeTabTopLevelEntity name="[F_国内債券明細_時価評価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D247BB3-EF9C-4EE1-AF7F-CE7A1CA6489B}" autoFormatId="20" applyNumberFormats="0" applyBorderFormats="0" applyFontFormats="0" applyPatternFormats="0" applyAlignmentFormats="0" applyWidthHeightFormats="0">
  <queryTableRefresh nextId="9">
    <queryTableFields count="8">
      <queryTableField id="1" name="基準日" tableColumnId="1"/>
      <queryTableField id="2" name="銘柄" tableColumnId="2"/>
      <queryTableField id="3" name="発行日" tableColumnId="3"/>
      <queryTableField id="4" name="償還日" tableColumnId="4"/>
      <queryTableField id="5" name="利率" tableColumnId="5"/>
      <queryTableField id="6" name="簿価" tableColumnId="6"/>
      <queryTableField id="7" name="時価" tableColumnId="7"/>
      <queryTableField id="8" name="修正デュレーション" tableColumnId="8"/>
    </queryTableFields>
  </queryTableRefresh>
  <extLst>
    <ext xmlns:x15="http://schemas.microsoft.com/office/spreadsheetml/2010/11/main" uri="{883FBD77-0823-4a55-B5E3-86C4891E6966}">
      <x15:queryTable sourceDataName="クエリ - F_国内債券明細_時価評価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" xr10:uid="{8084C2F0-73DE-440E-8894-92F958536C0D}" sourceName="[C_カレンダー].[年月]">
  <pivotTables>
    <pivotTable tabId="4" name="Pivotレポート"/>
  </pivotTables>
  <data>
    <olap pivotCacheId="1026703523">
      <levels count="2">
        <level uniqueName="[C_カレンダー].[年月].[(All)]" sourceCaption="(All)" count="0"/>
        <level uniqueName="[C_カレンダー].[年月].[年月]" sourceCaption="年月" count="336">
          <ranges>
            <range startItem="0">
              <i n="[C_カレンダー].[年月].&amp;[2024年04月]" c="2024年04月"/>
              <i n="[C_カレンダー].[年月].&amp;[2024年05月]" c="2024年05月"/>
              <i n="[C_カレンダー].[年月].&amp;[2024年06月]" c="2024年06月"/>
              <i n="[C_カレンダー].[年月].&amp;[2024年07月]" c="2024年07月"/>
              <i n="[C_カレンダー].[年月].&amp;[2024年08月]" c="2024年08月"/>
              <i n="[C_カレンダー].[年月].&amp;[2024年09月]" c="2024年09月"/>
              <i n="[C_カレンダー].[年月].&amp;[2024年10月]" c="2024年10月"/>
              <i n="[C_カレンダー].[年月].&amp;[2024年11月]" c="2024年11月"/>
              <i n="[C_カレンダー].[年月].&amp;[2024年12月]" c="2024年12月"/>
              <i n="[C_カレンダー].[年月].&amp;[2025年01月]" c="2025年01月"/>
              <i n="[C_カレンダー].[年月].&amp;[2025年02月]" c="2025年02月"/>
              <i n="[C_カレンダー].[年月].&amp;[2025年03月]" c="2025年03月"/>
              <i n="[C_カレンダー].[年月].&amp;[2007年01月]" c="2007年01月" nd="1"/>
              <i n="[C_カレンダー].[年月].&amp;[2007年02月]" c="2007年02月" nd="1"/>
              <i n="[C_カレンダー].[年月].&amp;[2007年03月]" c="2007年03月" nd="1"/>
              <i n="[C_カレンダー].[年月].&amp;[2007年04月]" c="2007年04月" nd="1"/>
              <i n="[C_カレンダー].[年月].&amp;[2007年05月]" c="2007年05月" nd="1"/>
              <i n="[C_カレンダー].[年月].&amp;[2007年06月]" c="2007年06月" nd="1"/>
              <i n="[C_カレンダー].[年月].&amp;[2007年07月]" c="2007年07月" nd="1"/>
              <i n="[C_カレンダー].[年月].&amp;[2007年08月]" c="2007年08月" nd="1"/>
              <i n="[C_カレンダー].[年月].&amp;[2007年09月]" c="2007年09月" nd="1"/>
              <i n="[C_カレンダー].[年月].&amp;[2007年10月]" c="2007年10月" nd="1"/>
              <i n="[C_カレンダー].[年月].&amp;[2007年11月]" c="2007年11月" nd="1"/>
              <i n="[C_カレンダー].[年月].&amp;[2007年12月]" c="2007年12月" nd="1"/>
              <i n="[C_カレンダー].[年月].&amp;[2008年01月]" c="2008年01月" nd="1"/>
              <i n="[C_カレンダー].[年月].&amp;[2008年02月]" c="2008年02月" nd="1"/>
              <i n="[C_カレンダー].[年月].&amp;[2008年03月]" c="2008年03月" nd="1"/>
              <i n="[C_カレンダー].[年月].&amp;[2008年04月]" c="2008年04月" nd="1"/>
              <i n="[C_カレンダー].[年月].&amp;[2008年05月]" c="2008年05月" nd="1"/>
              <i n="[C_カレンダー].[年月].&amp;[2008年06月]" c="2008年06月" nd="1"/>
              <i n="[C_カレンダー].[年月].&amp;[2008年07月]" c="2008年07月" nd="1"/>
              <i n="[C_カレンダー].[年月].&amp;[2008年08月]" c="2008年08月" nd="1"/>
              <i n="[C_カレンダー].[年月].&amp;[2008年09月]" c="2008年09月" nd="1"/>
              <i n="[C_カレンダー].[年月].&amp;[2008年10月]" c="2008年10月" nd="1"/>
              <i n="[C_カレンダー].[年月].&amp;[2008年11月]" c="2008年11月" nd="1"/>
              <i n="[C_カレンダー].[年月].&amp;[2008年12月]" c="2008年12月" nd="1"/>
              <i n="[C_カレンダー].[年月].&amp;[2009年01月]" c="2009年01月" nd="1"/>
              <i n="[C_カレンダー].[年月].&amp;[2009年02月]" c="2009年02月" nd="1"/>
              <i n="[C_カレンダー].[年月].&amp;[2009年03月]" c="2009年03月" nd="1"/>
              <i n="[C_カレンダー].[年月].&amp;[2009年04月]" c="2009年04月" nd="1"/>
              <i n="[C_カレンダー].[年月].&amp;[2009年05月]" c="2009年05月" nd="1"/>
              <i n="[C_カレンダー].[年月].&amp;[2009年06月]" c="2009年06月" nd="1"/>
              <i n="[C_カレンダー].[年月].&amp;[2009年07月]" c="2009年07月" nd="1"/>
              <i n="[C_カレンダー].[年月].&amp;[2009年08月]" c="2009年08月" nd="1"/>
              <i n="[C_カレンダー].[年月].&amp;[2009年09月]" c="2009年09月" nd="1"/>
              <i n="[C_カレンダー].[年月].&amp;[2009年10月]" c="2009年10月" nd="1"/>
              <i n="[C_カレンダー].[年月].&amp;[2009年11月]" c="2009年11月" nd="1"/>
              <i n="[C_カレンダー].[年月].&amp;[2009年12月]" c="2009年12月" nd="1"/>
              <i n="[C_カレンダー].[年月].&amp;[2010年01月]" c="2010年01月" nd="1"/>
              <i n="[C_カレンダー].[年月].&amp;[2010年02月]" c="2010年02月" nd="1"/>
              <i n="[C_カレンダー].[年月].&amp;[2010年03月]" c="2010年03月" nd="1"/>
              <i n="[C_カレンダー].[年月].&amp;[2010年04月]" c="2010年04月" nd="1"/>
              <i n="[C_カレンダー].[年月].&amp;[2010年05月]" c="2010年05月" nd="1"/>
              <i n="[C_カレンダー].[年月].&amp;[2010年06月]" c="2010年06月" nd="1"/>
              <i n="[C_カレンダー].[年月].&amp;[2010年07月]" c="2010年07月" nd="1"/>
              <i n="[C_カレンダー].[年月].&amp;[2010年08月]" c="2010年08月" nd="1"/>
              <i n="[C_カレンダー].[年月].&amp;[2010年09月]" c="2010年09月" nd="1"/>
              <i n="[C_カレンダー].[年月].&amp;[2010年10月]" c="2010年10月" nd="1"/>
              <i n="[C_カレンダー].[年月].&amp;[2010年11月]" c="2010年11月" nd="1"/>
              <i n="[C_カレンダー].[年月].&amp;[2010年12月]" c="2010年12月" nd="1"/>
              <i n="[C_カレンダー].[年月].&amp;[2011年01月]" c="2011年01月" nd="1"/>
              <i n="[C_カレンダー].[年月].&amp;[2011年02月]" c="2011年02月" nd="1"/>
              <i n="[C_カレンダー].[年月].&amp;[2011年03月]" c="2011年03月" nd="1"/>
              <i n="[C_カレンダー].[年月].&amp;[2011年04月]" c="2011年04月" nd="1"/>
              <i n="[C_カレンダー].[年月].&amp;[2011年05月]" c="2011年05月" nd="1"/>
              <i n="[C_カレンダー].[年月].&amp;[2011年06月]" c="2011年06月" nd="1"/>
              <i n="[C_カレンダー].[年月].&amp;[2011年07月]" c="2011年07月" nd="1"/>
              <i n="[C_カレンダー].[年月].&amp;[2011年08月]" c="2011年08月" nd="1"/>
              <i n="[C_カレンダー].[年月].&amp;[2011年09月]" c="2011年09月" nd="1"/>
              <i n="[C_カレンダー].[年月].&amp;[2011年10月]" c="2011年10月" nd="1"/>
              <i n="[C_カレンダー].[年月].&amp;[2011年11月]" c="2011年11月" nd="1"/>
              <i n="[C_カレンダー].[年月].&amp;[2011年12月]" c="2011年12月" nd="1"/>
              <i n="[C_カレンダー].[年月].&amp;[2012年01月]" c="2012年01月" nd="1"/>
              <i n="[C_カレンダー].[年月].&amp;[2012年02月]" c="2012年02月" nd="1"/>
              <i n="[C_カレンダー].[年月].&amp;[2012年03月]" c="2012年03月" nd="1"/>
              <i n="[C_カレンダー].[年月].&amp;[2012年04月]" c="2012年04月" nd="1"/>
              <i n="[C_カレンダー].[年月].&amp;[2012年05月]" c="2012年05月" nd="1"/>
              <i n="[C_カレンダー].[年月].&amp;[2012年06月]" c="2012年06月" nd="1"/>
              <i n="[C_カレンダー].[年月].&amp;[2012年07月]" c="2012年07月" nd="1"/>
              <i n="[C_カレンダー].[年月].&amp;[2012年08月]" c="2012年08月" nd="1"/>
              <i n="[C_カレンダー].[年月].&amp;[2012年09月]" c="2012年09月" nd="1"/>
              <i n="[C_カレンダー].[年月].&amp;[2012年10月]" c="2012年10月" nd="1"/>
              <i n="[C_カレンダー].[年月].&amp;[2012年11月]" c="2012年11月" nd="1"/>
              <i n="[C_カレンダー].[年月].&amp;[2012年12月]" c="2012年12月" nd="1"/>
              <i n="[C_カレンダー].[年月].&amp;[2013年01月]" c="2013年01月" nd="1"/>
              <i n="[C_カレンダー].[年月].&amp;[2013年02月]" c="2013年02月" nd="1"/>
              <i n="[C_カレンダー].[年月].&amp;[2013年03月]" c="2013年03月" nd="1"/>
              <i n="[C_カレンダー].[年月].&amp;[2013年04月]" c="2013年04月" nd="1"/>
              <i n="[C_カレンダー].[年月].&amp;[2013年05月]" c="2013年05月" nd="1"/>
              <i n="[C_カレンダー].[年月].&amp;[2013年06月]" c="2013年06月" nd="1"/>
              <i n="[C_カレンダー].[年月].&amp;[2013年07月]" c="2013年07月" nd="1"/>
              <i n="[C_カレンダー].[年月].&amp;[2013年08月]" c="2013年08月" nd="1"/>
              <i n="[C_カレンダー].[年月].&amp;[2013年09月]" c="2013年09月" nd="1"/>
              <i n="[C_カレンダー].[年月].&amp;[2013年10月]" c="2013年10月" nd="1"/>
              <i n="[C_カレンダー].[年月].&amp;[2013年11月]" c="2013年11月" nd="1"/>
              <i n="[C_カレンダー].[年月].&amp;[2013年12月]" c="2013年12月" nd="1"/>
              <i n="[C_カレンダー].[年月].&amp;[2014年01月]" c="2014年01月" nd="1"/>
              <i n="[C_カレンダー].[年月].&amp;[2014年02月]" c="2014年02月" nd="1"/>
              <i n="[C_カレンダー].[年月].&amp;[2014年03月]" c="2014年03月" nd="1"/>
              <i n="[C_カレンダー].[年月].&amp;[2014年04月]" c="2014年04月" nd="1"/>
              <i n="[C_カレンダー].[年月].&amp;[2014年05月]" c="2014年05月" nd="1"/>
              <i n="[C_カレンダー].[年月].&amp;[2014年06月]" c="2014年06月" nd="1"/>
              <i n="[C_カレンダー].[年月].&amp;[2014年07月]" c="2014年07月" nd="1"/>
              <i n="[C_カレンダー].[年月].&amp;[2014年08月]" c="2014年08月" nd="1"/>
              <i n="[C_カレンダー].[年月].&amp;[2014年09月]" c="2014年09月" nd="1"/>
              <i n="[C_カレンダー].[年月].&amp;[2014年10月]" c="2014年10月" nd="1"/>
              <i n="[C_カレンダー].[年月].&amp;[2014年11月]" c="2014年11月" nd="1"/>
              <i n="[C_カレンダー].[年月].&amp;[2014年12月]" c="2014年12月" nd="1"/>
              <i n="[C_カレンダー].[年月].&amp;[2015年01月]" c="2015年01月" nd="1"/>
              <i n="[C_カレンダー].[年月].&amp;[2015年02月]" c="2015年02月" nd="1"/>
              <i n="[C_カレンダー].[年月].&amp;[2015年03月]" c="2015年03月" nd="1"/>
              <i n="[C_カレンダー].[年月].&amp;[2015年04月]" c="2015年04月" nd="1"/>
              <i n="[C_カレンダー].[年月].&amp;[2015年05月]" c="2015年05月" nd="1"/>
              <i n="[C_カレンダー].[年月].&amp;[2015年06月]" c="2015年06月" nd="1"/>
              <i n="[C_カレンダー].[年月].&amp;[2015年07月]" c="2015年07月" nd="1"/>
              <i n="[C_カレンダー].[年月].&amp;[2015年08月]" c="2015年08月" nd="1"/>
              <i n="[C_カレンダー].[年月].&amp;[2015年09月]" c="2015年09月" nd="1"/>
              <i n="[C_カレンダー].[年月].&amp;[2015年10月]" c="2015年10月" nd="1"/>
              <i n="[C_カレンダー].[年月].&amp;[2015年11月]" c="2015年11月" nd="1"/>
              <i n="[C_カレンダー].[年月].&amp;[2015年12月]" c="2015年12月" nd="1"/>
              <i n="[C_カレンダー].[年月].&amp;[2016年01月]" c="2016年01月" nd="1"/>
              <i n="[C_カレンダー].[年月].&amp;[2016年02月]" c="2016年02月" nd="1"/>
              <i n="[C_カレンダー].[年月].&amp;[2016年03月]" c="2016年03月" nd="1"/>
              <i n="[C_カレンダー].[年月].&amp;[2016年04月]" c="2016年04月" nd="1"/>
              <i n="[C_カレンダー].[年月].&amp;[2016年05月]" c="2016年05月" nd="1"/>
              <i n="[C_カレンダー].[年月].&amp;[2016年06月]" c="2016年06月" nd="1"/>
              <i n="[C_カレンダー].[年月].&amp;[2016年07月]" c="2016年07月" nd="1"/>
              <i n="[C_カレンダー].[年月].&amp;[2016年08月]" c="2016年08月" nd="1"/>
              <i n="[C_カレンダー].[年月].&amp;[2016年09月]" c="2016年09月" nd="1"/>
              <i n="[C_カレンダー].[年月].&amp;[2016年10月]" c="2016年10月" nd="1"/>
              <i n="[C_カレンダー].[年月].&amp;[2016年11月]" c="2016年11月" nd="1"/>
              <i n="[C_カレンダー].[年月].&amp;[2016年12月]" c="2016年12月" nd="1"/>
              <i n="[C_カレンダー].[年月].&amp;[2017年01月]" c="2017年01月" nd="1"/>
              <i n="[C_カレンダー].[年月].&amp;[2017年02月]" c="2017年02月" nd="1"/>
              <i n="[C_カレンダー].[年月].&amp;[2017年03月]" c="2017年03月" nd="1"/>
              <i n="[C_カレンダー].[年月].&amp;[2017年04月]" c="2017年04月" nd="1"/>
              <i n="[C_カレンダー].[年月].&amp;[2017年05月]" c="2017年05月" nd="1"/>
              <i n="[C_カレンダー].[年月].&amp;[2017年06月]" c="2017年06月" nd="1"/>
              <i n="[C_カレンダー].[年月].&amp;[2017年07月]" c="2017年07月" nd="1"/>
              <i n="[C_カレンダー].[年月].&amp;[2017年08月]" c="2017年08月" nd="1"/>
              <i n="[C_カレンダー].[年月].&amp;[2017年09月]" c="2017年09月" nd="1"/>
              <i n="[C_カレンダー].[年月].&amp;[2017年10月]" c="2017年10月" nd="1"/>
              <i n="[C_カレンダー].[年月].&amp;[2017年11月]" c="2017年11月" nd="1"/>
              <i n="[C_カレンダー].[年月].&amp;[2017年12月]" c="2017年12月" nd="1"/>
              <i n="[C_カレンダー].[年月].&amp;[2018年01月]" c="2018年01月" nd="1"/>
              <i n="[C_カレンダー].[年月].&amp;[2018年02月]" c="2018年02月" nd="1"/>
              <i n="[C_カレンダー].[年月].&amp;[2018年03月]" c="2018年03月" nd="1"/>
              <i n="[C_カレンダー].[年月].&amp;[2018年04月]" c="2018年04月" nd="1"/>
              <i n="[C_カレンダー].[年月].&amp;[2018年05月]" c="2018年05月" nd="1"/>
              <i n="[C_カレンダー].[年月].&amp;[2018年06月]" c="2018年06月" nd="1"/>
              <i n="[C_カレンダー].[年月].&amp;[2018年07月]" c="2018年07月" nd="1"/>
              <i n="[C_カレンダー].[年月].&amp;[2018年08月]" c="2018年08月" nd="1"/>
              <i n="[C_カレンダー].[年月].&amp;[2018年09月]" c="2018年09月" nd="1"/>
              <i n="[C_カレンダー].[年月].&amp;[2018年10月]" c="2018年10月" nd="1"/>
              <i n="[C_カレンダー].[年月].&amp;[2018年11月]" c="2018年11月" nd="1"/>
              <i n="[C_カレンダー].[年月].&amp;[2018年12月]" c="2018年12月" nd="1"/>
              <i n="[C_カレンダー].[年月].&amp;[2019年01月]" c="2019年01月" nd="1"/>
              <i n="[C_カレンダー].[年月].&amp;[2019年02月]" c="2019年02月" nd="1"/>
              <i n="[C_カレンダー].[年月].&amp;[2019年03月]" c="2019年03月" nd="1"/>
              <i n="[C_カレンダー].[年月].&amp;[2019年04月]" c="2019年04月" nd="1"/>
              <i n="[C_カレンダー].[年月].&amp;[2019年05月]" c="2019年05月" nd="1"/>
              <i n="[C_カレンダー].[年月].&amp;[2019年06月]" c="2019年06月" nd="1"/>
              <i n="[C_カレンダー].[年月].&amp;[2019年07月]" c="2019年07月" nd="1"/>
              <i n="[C_カレンダー].[年月].&amp;[2019年08月]" c="2019年08月" nd="1"/>
              <i n="[C_カレンダー].[年月].&amp;[2019年09月]" c="2019年09月" nd="1"/>
              <i n="[C_カレンダー].[年月].&amp;[2019年10月]" c="2019年10月" nd="1"/>
              <i n="[C_カレンダー].[年月].&amp;[2019年11月]" c="2019年11月" nd="1"/>
              <i n="[C_カレンダー].[年月].&amp;[2019年12月]" c="2019年12月" nd="1"/>
              <i n="[C_カレンダー].[年月].&amp;[2020年01月]" c="2020年01月" nd="1"/>
              <i n="[C_カレンダー].[年月].&amp;[2020年02月]" c="2020年02月" nd="1"/>
              <i n="[C_カレンダー].[年月].&amp;[2020年03月]" c="2020年03月" nd="1"/>
              <i n="[C_カレンダー].[年月].&amp;[2020年04月]" c="2020年04月" nd="1"/>
              <i n="[C_カレンダー].[年月].&amp;[2020年05月]" c="2020年05月" nd="1"/>
              <i n="[C_カレンダー].[年月].&amp;[2020年06月]" c="2020年06月" nd="1"/>
              <i n="[C_カレンダー].[年月].&amp;[2020年07月]" c="2020年07月" nd="1"/>
              <i n="[C_カレンダー].[年月].&amp;[2020年08月]" c="2020年08月" nd="1"/>
              <i n="[C_カレンダー].[年月].&amp;[2020年09月]" c="2020年09月" nd="1"/>
              <i n="[C_カレンダー].[年月].&amp;[2020年10月]" c="2020年10月" nd="1"/>
              <i n="[C_カレンダー].[年月].&amp;[2020年11月]" c="2020年11月" nd="1"/>
              <i n="[C_カレンダー].[年月].&amp;[2020年12月]" c="2020年12月" nd="1"/>
              <i n="[C_カレンダー].[年月].&amp;[2021年01月]" c="2021年01月" nd="1"/>
              <i n="[C_カレンダー].[年月].&amp;[2021年02月]" c="2021年02月" nd="1"/>
              <i n="[C_カレンダー].[年月].&amp;[2021年03月]" c="2021年03月" nd="1"/>
              <i n="[C_カレンダー].[年月].&amp;[2021年04月]" c="2021年04月" nd="1"/>
              <i n="[C_カレンダー].[年月].&amp;[2021年05月]" c="2021年05月" nd="1"/>
              <i n="[C_カレンダー].[年月].&amp;[2021年06月]" c="2021年06月" nd="1"/>
              <i n="[C_カレンダー].[年月].&amp;[2021年07月]" c="2021年07月" nd="1"/>
              <i n="[C_カレンダー].[年月].&amp;[2021年08月]" c="2021年08月" nd="1"/>
              <i n="[C_カレンダー].[年月].&amp;[2021年09月]" c="2021年09月" nd="1"/>
              <i n="[C_カレンダー].[年月].&amp;[2021年10月]" c="2021年10月" nd="1"/>
              <i n="[C_カレンダー].[年月].&amp;[2021年11月]" c="2021年11月" nd="1"/>
              <i n="[C_カレンダー].[年月].&amp;[2021年12月]" c="2021年12月" nd="1"/>
              <i n="[C_カレンダー].[年月].&amp;[2022年01月]" c="2022年01月" nd="1"/>
              <i n="[C_カレンダー].[年月].&amp;[2022年02月]" c="2022年02月" nd="1"/>
              <i n="[C_カレンダー].[年月].&amp;[2022年03月]" c="2022年03月" nd="1"/>
              <i n="[C_カレンダー].[年月].&amp;[2022年04月]" c="2022年04月" nd="1"/>
              <i n="[C_カレンダー].[年月].&amp;[2022年05月]" c="2022年05月" nd="1"/>
              <i n="[C_カレンダー].[年月].&amp;[2022年06月]" c="2022年06月" nd="1"/>
              <i n="[C_カレンダー].[年月].&amp;[2022年07月]" c="2022年07月" nd="1"/>
              <i n="[C_カレンダー].[年月].&amp;[2022年08月]" c="2022年08月" nd="1"/>
              <i n="[C_カレンダー].[年月].&amp;[2022年09月]" c="2022年09月" nd="1"/>
              <i n="[C_カレンダー].[年月].&amp;[2022年10月]" c="2022年10月" nd="1"/>
              <i n="[C_カレンダー].[年月].&amp;[2022年11月]" c="2022年11月" nd="1"/>
              <i n="[C_カレンダー].[年月].&amp;[2022年12月]" c="2022年12月" nd="1"/>
              <i n="[C_カレンダー].[年月].&amp;[2023年01月]" c="2023年01月" nd="1"/>
              <i n="[C_カレンダー].[年月].&amp;[2023年02月]" c="2023年02月" nd="1"/>
              <i n="[C_カレンダー].[年月].&amp;[2023年03月]" c="2023年03月" nd="1"/>
              <i n="[C_カレンダー].[年月].&amp;[2023年04月]" c="2023年04月" nd="1"/>
              <i n="[C_カレンダー].[年月].&amp;[2023年05月]" c="2023年05月" nd="1"/>
              <i n="[C_カレンダー].[年月].&amp;[2023年06月]" c="2023年06月" nd="1"/>
              <i n="[C_カレンダー].[年月].&amp;[2023年07月]" c="2023年07月" nd="1"/>
              <i n="[C_カレンダー].[年月].&amp;[2023年08月]" c="2023年08月" nd="1"/>
              <i n="[C_カレンダー].[年月].&amp;[2023年09月]" c="2023年09月" nd="1"/>
              <i n="[C_カレンダー].[年月].&amp;[2023年10月]" c="2023年10月" nd="1"/>
              <i n="[C_カレンダー].[年月].&amp;[2023年11月]" c="2023年11月" nd="1"/>
              <i n="[C_カレンダー].[年月].&amp;[2023年12月]" c="2023年12月" nd="1"/>
              <i n="[C_カレンダー].[年月].&amp;[2024年01月]" c="2024年01月" nd="1"/>
              <i n="[C_カレンダー].[年月].&amp;[2024年02月]" c="2024年02月" nd="1"/>
              <i n="[C_カレンダー].[年月].&amp;[2024年03月]" c="2024年03月" nd="1"/>
              <i n="[C_カレンダー].[年月].&amp;[2025年04月]" c="2025年04月" nd="1"/>
              <i n="[C_カレンダー].[年月].&amp;[2025年05月]" c="2025年05月" nd="1"/>
              <i n="[C_カレンダー].[年月].&amp;[2025年06月]" c="2025年06月" nd="1"/>
              <i n="[C_カレンダー].[年月].&amp;[2025年07月]" c="2025年07月" nd="1"/>
              <i n="[C_カレンダー].[年月].&amp;[2025年08月]" c="2025年08月" nd="1"/>
              <i n="[C_カレンダー].[年月].&amp;[2025年09月]" c="2025年09月" nd="1"/>
              <i n="[C_カレンダー].[年月].&amp;[2025年10月]" c="2025年10月" nd="1"/>
              <i n="[C_カレンダー].[年月].&amp;[2025年11月]" c="2025年11月" nd="1"/>
              <i n="[C_カレンダー].[年月].&amp;[2025年12月]" c="2025年12月" nd="1"/>
              <i n="[C_カレンダー].[年月].&amp;[2026年01月]" c="2026年01月" nd="1"/>
              <i n="[C_カレンダー].[年月].&amp;[2026年02月]" c="2026年02月" nd="1"/>
              <i n="[C_カレンダー].[年月].&amp;[2026年03月]" c="2026年03月" nd="1"/>
              <i n="[C_カレンダー].[年月].&amp;[2026年04月]" c="2026年04月" nd="1"/>
              <i n="[C_カレンダー].[年月].&amp;[2026年05月]" c="2026年05月" nd="1"/>
              <i n="[C_カレンダー].[年月].&amp;[2026年06月]" c="2026年06月" nd="1"/>
              <i n="[C_カレンダー].[年月].&amp;[2026年07月]" c="2026年07月" nd="1"/>
              <i n="[C_カレンダー].[年月].&amp;[2026年08月]" c="2026年08月" nd="1"/>
              <i n="[C_カレンダー].[年月].&amp;[2026年09月]" c="2026年09月" nd="1"/>
              <i n="[C_カレンダー].[年月].&amp;[2026年10月]" c="2026年10月" nd="1"/>
              <i n="[C_カレンダー].[年月].&amp;[2026年11月]" c="2026年11月" nd="1"/>
              <i n="[C_カレンダー].[年月].&amp;[2026年12月]" c="2026年12月" nd="1"/>
              <i n="[C_カレンダー].[年月].&amp;[2027年01月]" c="2027年01月" nd="1"/>
              <i n="[C_カレンダー].[年月].&amp;[2027年02月]" c="2027年02月" nd="1"/>
              <i n="[C_カレンダー].[年月].&amp;[2027年03月]" c="2027年03月" nd="1"/>
              <i n="[C_カレンダー].[年月].&amp;[2027年04月]" c="2027年04月" nd="1"/>
              <i n="[C_カレンダー].[年月].&amp;[2027年05月]" c="2027年05月" nd="1"/>
              <i n="[C_カレンダー].[年月].&amp;[2027年06月]" c="2027年06月" nd="1"/>
              <i n="[C_カレンダー].[年月].&amp;[2027年07月]" c="2027年07月" nd="1"/>
              <i n="[C_カレンダー].[年月].&amp;[2027年08月]" c="2027年08月" nd="1"/>
              <i n="[C_カレンダー].[年月].&amp;[2027年09月]" c="2027年09月" nd="1"/>
              <i n="[C_カレンダー].[年月].&amp;[2027年10月]" c="2027年10月" nd="1"/>
              <i n="[C_カレンダー].[年月].&amp;[2027年11月]" c="2027年11月" nd="1"/>
              <i n="[C_カレンダー].[年月].&amp;[2027年12月]" c="2027年12月" nd="1"/>
              <i n="[C_カレンダー].[年月].&amp;[2028年01月]" c="2028年01月" nd="1"/>
              <i n="[C_カレンダー].[年月].&amp;[2028年02月]" c="2028年02月" nd="1"/>
              <i n="[C_カレンダー].[年月].&amp;[2028年03月]" c="2028年03月" nd="1"/>
              <i n="[C_カレンダー].[年月].&amp;[2028年04月]" c="2028年04月" nd="1"/>
              <i n="[C_カレンダー].[年月].&amp;[2028年05月]" c="2028年05月" nd="1"/>
              <i n="[C_カレンダー].[年月].&amp;[2028年06月]" c="2028年06月" nd="1"/>
              <i n="[C_カレンダー].[年月].&amp;[2028年07月]" c="2028年07月" nd="1"/>
              <i n="[C_カレンダー].[年月].&amp;[2028年08月]" c="2028年08月" nd="1"/>
              <i n="[C_カレンダー].[年月].&amp;[2028年09月]" c="2028年09月" nd="1"/>
              <i n="[C_カレンダー].[年月].&amp;[2028年10月]" c="2028年10月" nd="1"/>
              <i n="[C_カレンダー].[年月].&amp;[2028年11月]" c="2028年11月" nd="1"/>
              <i n="[C_カレンダー].[年月].&amp;[2028年12月]" c="2028年12月" nd="1"/>
              <i n="[C_カレンダー].[年月].&amp;[2029年01月]" c="2029年01月" nd="1"/>
              <i n="[C_カレンダー].[年月].&amp;[2029年02月]" c="2029年02月" nd="1"/>
              <i n="[C_カレンダー].[年月].&amp;[2029年03月]" c="2029年03月" nd="1"/>
              <i n="[C_カレンダー].[年月].&amp;[2029年04月]" c="2029年04月" nd="1"/>
              <i n="[C_カレンダー].[年月].&amp;[2029年05月]" c="2029年05月" nd="1"/>
              <i n="[C_カレンダー].[年月].&amp;[2029年06月]" c="2029年06月" nd="1"/>
              <i n="[C_カレンダー].[年月].&amp;[2029年07月]" c="2029年07月" nd="1"/>
              <i n="[C_カレンダー].[年月].&amp;[2029年08月]" c="2029年08月" nd="1"/>
              <i n="[C_カレンダー].[年月].&amp;[2029年09月]" c="2029年09月" nd="1"/>
              <i n="[C_カレンダー].[年月].&amp;[2029年10月]" c="2029年10月" nd="1"/>
              <i n="[C_カレンダー].[年月].&amp;[2029年11月]" c="2029年11月" nd="1"/>
              <i n="[C_カレンダー].[年月].&amp;[2029年12月]" c="2029年12月" nd="1"/>
              <i n="[C_カレンダー].[年月].&amp;[2030年01月]" c="2030年01月" nd="1"/>
              <i n="[C_カレンダー].[年月].&amp;[2030年02月]" c="2030年02月" nd="1"/>
              <i n="[C_カレンダー].[年月].&amp;[2030年03月]" c="2030年03月" nd="1"/>
              <i n="[C_カレンダー].[年月].&amp;[2030年04月]" c="2030年04月" nd="1"/>
              <i n="[C_カレンダー].[年月].&amp;[2030年05月]" c="2030年05月" nd="1"/>
              <i n="[C_カレンダー].[年月].&amp;[2030年06月]" c="2030年06月" nd="1"/>
              <i n="[C_カレンダー].[年月].&amp;[2030年07月]" c="2030年07月" nd="1"/>
              <i n="[C_カレンダー].[年月].&amp;[2030年08月]" c="2030年08月" nd="1"/>
              <i n="[C_カレンダー].[年月].&amp;[2030年09月]" c="2030年09月" nd="1"/>
              <i n="[C_カレンダー].[年月].&amp;[2030年10月]" c="2030年10月" nd="1"/>
              <i n="[C_カレンダー].[年月].&amp;[2030年11月]" c="2030年11月" nd="1"/>
              <i n="[C_カレンダー].[年月].&amp;[2030年12月]" c="2030年12月" nd="1"/>
              <i n="[C_カレンダー].[年月].&amp;[2031年01月]" c="2031年01月" nd="1"/>
              <i n="[C_カレンダー].[年月].&amp;[2031年02月]" c="2031年02月" nd="1"/>
              <i n="[C_カレンダー].[年月].&amp;[2031年03月]" c="2031年03月" nd="1"/>
              <i n="[C_カレンダー].[年月].&amp;[2031年04月]" c="2031年04月" nd="1"/>
              <i n="[C_カレンダー].[年月].&amp;[2031年05月]" c="2031年05月" nd="1"/>
              <i n="[C_カレンダー].[年月].&amp;[2031年06月]" c="2031年06月" nd="1"/>
              <i n="[C_カレンダー].[年月].&amp;[2031年07月]" c="2031年07月" nd="1"/>
              <i n="[C_カレンダー].[年月].&amp;[2031年08月]" c="2031年08月" nd="1"/>
              <i n="[C_カレンダー].[年月].&amp;[2031年09月]" c="2031年09月" nd="1"/>
              <i n="[C_カレンダー].[年月].&amp;[2031年10月]" c="2031年10月" nd="1"/>
              <i n="[C_カレンダー].[年月].&amp;[2031年11月]" c="2031年11月" nd="1"/>
              <i n="[C_カレンダー].[年月].&amp;[2031年12月]" c="2031年12月" nd="1"/>
              <i n="[C_カレンダー].[年月].&amp;[2032年01月]" c="2032年01月" nd="1"/>
              <i n="[C_カレンダー].[年月].&amp;[2032年02月]" c="2032年02月" nd="1"/>
              <i n="[C_カレンダー].[年月].&amp;[2032年03月]" c="2032年03月" nd="1"/>
              <i n="[C_カレンダー].[年月].&amp;[2032年04月]" c="2032年04月" nd="1"/>
              <i n="[C_カレンダー].[年月].&amp;[2032年05月]" c="2032年05月" nd="1"/>
              <i n="[C_カレンダー].[年月].&amp;[2032年06月]" c="2032年06月" nd="1"/>
              <i n="[C_カレンダー].[年月].&amp;[2032年07月]" c="2032年07月" nd="1"/>
              <i n="[C_カレンダー].[年月].&amp;[2032年08月]" c="2032年08月" nd="1"/>
              <i n="[C_カレンダー].[年月].&amp;[2032年09月]" c="2032年09月" nd="1"/>
              <i n="[C_カレンダー].[年月].&amp;[2032年10月]" c="2032年10月" nd="1"/>
              <i n="[C_カレンダー].[年月].&amp;[2032年11月]" c="2032年11月" nd="1"/>
              <i n="[C_カレンダー].[年月].&amp;[2032年12月]" c="2032年12月" nd="1"/>
              <i n="[C_カレンダー].[年月].&amp;[2033年01月]" c="2033年01月" nd="1"/>
              <i n="[C_カレンダー].[年月].&amp;[2033年02月]" c="2033年02月" nd="1"/>
              <i n="[C_カレンダー].[年月].&amp;[2033年03月]" c="2033年03月" nd="1"/>
              <i n="[C_カレンダー].[年月].&amp;[2033年04月]" c="2033年04月" nd="1"/>
              <i n="[C_カレンダー].[年月].&amp;[2033年05月]" c="2033年05月" nd="1"/>
              <i n="[C_カレンダー].[年月].&amp;[2033年06月]" c="2033年06月" nd="1"/>
              <i n="[C_カレンダー].[年月].&amp;[2033年07月]" c="2033年07月" nd="1"/>
              <i n="[C_カレンダー].[年月].&amp;[2033年08月]" c="2033年08月" nd="1"/>
              <i n="[C_カレンダー].[年月].&amp;[2033年09月]" c="2033年09月" nd="1"/>
              <i n="[C_カレンダー].[年月].&amp;[2033年10月]" c="2033年10月" nd="1"/>
              <i n="[C_カレンダー].[年月].&amp;[2033年11月]" c="2033年11月" nd="1"/>
              <i n="[C_カレンダー].[年月].&amp;[2033年12月]" c="2033年12月" nd="1"/>
              <i n="[C_カレンダー].[年月].&amp;[2034年01月]" c="2034年01月" nd="1"/>
              <i n="[C_カレンダー].[年月].&amp;[2034年02月]" c="2034年02月" nd="1"/>
              <i n="[C_カレンダー].[年月].&amp;[2034年03月]" c="2034年03月" nd="1"/>
              <i n="[C_カレンダー].[年月].&amp;[2034年04月]" c="2034年04月" nd="1"/>
              <i n="[C_カレンダー].[年月].&amp;[2034年05月]" c="2034年05月" nd="1"/>
              <i n="[C_カレンダー].[年月].&amp;[2034年06月]" c="2034年06月" nd="1"/>
              <i n="[C_カレンダー].[年月].&amp;[2034年07月]" c="2034年07月" nd="1"/>
              <i n="[C_カレンダー].[年月].&amp;[2034年08月]" c="2034年08月" nd="1"/>
              <i n="[C_カレンダー].[年月].&amp;[2034年09月]" c="2034年09月" nd="1"/>
              <i n="[C_カレンダー].[年月].&amp;[2034年10月]" c="2034年10月" nd="1"/>
              <i n="[C_カレンダー].[年月].&amp;[2034年11月]" c="2034年11月" nd="1"/>
              <i n="[C_カレンダー].[年月].&amp;[2034年12月]" c="2034年12月" nd="1"/>
            </range>
          </ranges>
        </level>
      </levels>
      <selections count="1">
        <selection n="[C_カレンダー].[年月].&amp;[2024年12月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" xr10:uid="{D8579F34-D4D4-4D2B-8C0B-7428F13F118F}" cache="スライサー_年月" caption="年月" startItem="6" level="1" rowHeight="249238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A26B9-9BD9-4554-94A0-9C2EB83BD01C}" name="F_国内債券明細_時価評価" displayName="F_国内債券明細_時価評価" ref="B4:I101" tableType="queryTable" totalsRowShown="0">
  <autoFilter ref="B4:I101" xr:uid="{194A26B9-9BD9-4554-94A0-9C2EB83BD01C}"/>
  <tableColumns count="8">
    <tableColumn id="1" xr3:uid="{C439A64D-F932-4729-A233-92E5B34A6760}" uniqueName="1" name="基準日" queryTableFieldId="1" dataDxfId="5"/>
    <tableColumn id="2" xr3:uid="{0A7BAD30-CEC6-47FD-B840-5097AC20918D}" uniqueName="2" name="銘柄" queryTableFieldId="2" dataDxfId="4"/>
    <tableColumn id="3" xr3:uid="{5BBC617E-9ABB-46B3-8160-650998A02EE8}" uniqueName="3" name="発行日" queryTableFieldId="3" dataDxfId="3"/>
    <tableColumn id="4" xr3:uid="{3F5903DF-B528-4355-8A24-0691BC1EA17A}" uniqueName="4" name="償還日" queryTableFieldId="4" dataDxfId="2"/>
    <tableColumn id="5" xr3:uid="{A248C702-B2EB-43A8-829A-B4CA4E64021A}" uniqueName="5" name="利率" queryTableFieldId="5"/>
    <tableColumn id="6" xr3:uid="{5A7F7958-3C5E-47BF-B705-88DA9CC14FAF}" uniqueName="6" name="簿価" queryTableFieldId="6"/>
    <tableColumn id="7" xr3:uid="{DC7E49E1-8C70-4E01-B155-99190258B710}" uniqueName="7" name="時価" queryTableFieldId="7"/>
    <tableColumn id="8" xr3:uid="{EA4FCCF5-A446-459F-A288-ECF4CBFCC8DB}" uniqueName="8" name="修正デュレーション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2F27-A41C-4D8D-A4B7-3BBCC875D36D}">
  <sheetPr>
    <tabColor rgb="FFFFC000"/>
    <pageSetUpPr fitToPage="1"/>
  </sheetPr>
  <dimension ref="B2:W31"/>
  <sheetViews>
    <sheetView showGridLines="0" tabSelected="1" workbookViewId="0"/>
  </sheetViews>
  <sheetFormatPr defaultColWidth="8.83203125" defaultRowHeight="18" outlineLevelRow="1"/>
  <cols>
    <col min="1" max="1" width="3" customWidth="1"/>
    <col min="2" max="2" width="11.08203125" customWidth="1"/>
    <col min="3" max="3" width="6.5" bestFit="1" customWidth="1"/>
    <col min="4" max="5" width="13.5" bestFit="1" customWidth="1"/>
    <col min="6" max="6" width="12.5" bestFit="1" customWidth="1"/>
    <col min="7" max="8" width="12.5" hidden="1" customWidth="1"/>
    <col min="9" max="9" width="16" bestFit="1" customWidth="1"/>
    <col min="10" max="12" width="16" hidden="1" customWidth="1"/>
    <col min="13" max="14" width="3" customWidth="1"/>
    <col min="15" max="15" width="10" bestFit="1" customWidth="1"/>
    <col min="16" max="17" width="7.5" bestFit="1" customWidth="1"/>
    <col min="18" max="19" width="10" bestFit="1" customWidth="1"/>
    <col min="20" max="20" width="10" customWidth="1"/>
    <col min="21" max="21" width="7" bestFit="1" customWidth="1"/>
    <col min="22" max="22" width="5.5" bestFit="1" customWidth="1"/>
    <col min="23" max="23" width="3" customWidth="1"/>
    <col min="24" max="24" width="8.6640625" bestFit="1" customWidth="1"/>
    <col min="25" max="25" width="2.1640625" customWidth="1"/>
  </cols>
  <sheetData>
    <row r="2" spans="2:23">
      <c r="D2" s="40" t="s">
        <v>1</v>
      </c>
      <c r="O2" s="40" t="s">
        <v>57</v>
      </c>
    </row>
    <row r="3" spans="2:23">
      <c r="D3" s="41" t="s">
        <v>47</v>
      </c>
      <c r="I3" s="6"/>
      <c r="O3" s="47">
        <v>1000000</v>
      </c>
    </row>
    <row r="4" spans="2:23" ht="18.5" thickBot="1">
      <c r="D4" s="42" t="s" vm="10">
        <v>51</v>
      </c>
      <c r="I4" s="61" t="s">
        <v>48</v>
      </c>
      <c r="J4" s="43" t="s">
        <v>42</v>
      </c>
      <c r="N4" s="9" t="s">
        <v>45</v>
      </c>
    </row>
    <row r="5" spans="2:23">
      <c r="N5" s="71"/>
      <c r="O5" s="72"/>
      <c r="P5" s="72"/>
      <c r="Q5" s="72"/>
      <c r="R5" s="72"/>
      <c r="S5" s="72"/>
      <c r="T5" s="72"/>
      <c r="U5" s="72"/>
      <c r="V5" s="72"/>
      <c r="W5" s="73"/>
    </row>
    <row r="6" spans="2:23">
      <c r="B6" s="8" t="s">
        <v>35</v>
      </c>
      <c r="C6" s="8"/>
      <c r="D6" s="35" t="str" vm="10">
        <f ca="1">IF(N_Mode="自動",CUBEMEMBER(Omajinai,"[C_カレンダー].[年月].["&amp;TEXT(EOMONTH(TODAY(),-1),"yyyy年MM月")&amp;"]"),N_KijunBi_Manual)</f>
        <v>2024年12月</v>
      </c>
      <c r="E6" s="8"/>
      <c r="F6" s="8"/>
      <c r="G6" s="8"/>
      <c r="H6" s="8"/>
      <c r="I6" s="36" t="str" vm="13">
        <f ca="1">CUBEMEMBER(Omajinai, "[C_カレンダー].[年月].[" &amp; TEXT(EOMONTH(基準月,-1), "yyyy年MM月") &amp; "]")</f>
        <v>2024年11月</v>
      </c>
      <c r="J6" s="36" t="str" vm="15">
        <f ca="1">CUBEMEMBER(Omajinai, "[C_カレンダー].[年月].[" &amp; TEXT(EOMONTH(基準月, -MOD(MONTH(基準月)-1, 3)-1), "yyyy年MM月") &amp; "]")</f>
        <v>2024年09月</v>
      </c>
      <c r="K6" s="37"/>
      <c r="L6" s="37"/>
      <c r="N6" s="74"/>
      <c r="O6" s="62" t="s">
        <v>52</v>
      </c>
      <c r="P6" s="69" t="s">
        <v>40</v>
      </c>
      <c r="Q6" s="68" t="s">
        <v>41</v>
      </c>
      <c r="R6" s="67" t="s">
        <v>39</v>
      </c>
      <c r="S6" s="48"/>
      <c r="T6" s="49"/>
      <c r="U6" s="64" t="s">
        <v>56</v>
      </c>
      <c r="V6" s="65" t="s">
        <v>55</v>
      </c>
      <c r="W6" s="75"/>
    </row>
    <row r="7" spans="2:23" ht="18.5" thickBot="1">
      <c r="B7" s="38" t="s">
        <v>49</v>
      </c>
      <c r="C7" s="38"/>
      <c r="D7" s="38" t="s" vm="3">
        <v>30</v>
      </c>
      <c r="E7" s="38" t="s" vm="5">
        <v>31</v>
      </c>
      <c r="F7" s="38" t="s" vm="27">
        <v>32</v>
      </c>
      <c r="G7" s="38" t="s" vm="52">
        <v>54</v>
      </c>
      <c r="H7" s="38" t="s" vm="45">
        <v>53</v>
      </c>
      <c r="I7" s="38" t="s" vm="27">
        <v>32</v>
      </c>
      <c r="J7" s="38" t="s" vm="27">
        <v>32</v>
      </c>
      <c r="K7" s="39"/>
      <c r="L7" s="39"/>
      <c r="N7" s="74"/>
      <c r="O7" s="63"/>
      <c r="P7" s="70"/>
      <c r="Q7" s="66"/>
      <c r="R7" s="63"/>
      <c r="S7" s="50" t="s">
        <v>43</v>
      </c>
      <c r="T7" s="51" t="s">
        <v>44</v>
      </c>
      <c r="U7" s="63"/>
      <c r="V7" s="66"/>
      <c r="W7" s="75"/>
    </row>
    <row r="8" spans="2:23" ht="18.5" thickTop="1">
      <c r="B8" t="s">
        <v>28</v>
      </c>
      <c r="C8" s="9" t="str" vm="4">
        <f>CUBEMEMBER(Omajinai, "[D_銘柄分類].[分類].[短期]")</f>
        <v>短期</v>
      </c>
      <c r="D8" s="18" vm="19">
        <f t="shared" ref="D8:H9" ca="1" si="0" xml:space="preserve"> CUBEVALUE(Omajinai, D$7, $C8,基準月)</f>
        <v>300000000</v>
      </c>
      <c r="E8" s="18" vm="23">
        <f t="shared" ca="1" si="0"/>
        <v>299633126.05861467</v>
      </c>
      <c r="F8" s="18" vm="42">
        <f t="shared" ca="1" si="0"/>
        <v>-366873.94138532877</v>
      </c>
      <c r="G8" s="29" vm="55">
        <f t="shared" ca="1" si="0"/>
        <v>4.2000000000000002E-4</v>
      </c>
      <c r="H8" s="30" vm="47">
        <f t="shared" ca="1" si="0"/>
        <v>0.31876389619855294</v>
      </c>
      <c r="I8" s="18" vm="36">
        <f ca="1" xml:space="preserve"> CUBEVALUE(Omajinai, I$7, $C8, 基準前月)</f>
        <v>-546303.37486451864</v>
      </c>
      <c r="J8" s="18" vm="28">
        <f ca="1" xml:space="preserve"> CUBEVALUE(Omajinai, J$7, $C8, 前四半期末)</f>
        <v>-285026.11075669527</v>
      </c>
      <c r="K8" s="18" t="e">
        <f t="shared" ref="K8:L11" si="1" xml:space="preserve"> CUBEVALUE(Omajinai, K$7, $C8, K$6)</f>
        <v>#N/A</v>
      </c>
      <c r="L8" s="18" t="e">
        <f t="shared" si="1"/>
        <v>#N/A</v>
      </c>
      <c r="N8" s="74"/>
      <c r="O8" s="24" t="s">
        <v>29</v>
      </c>
      <c r="P8" s="12" cm="1">
        <f t="array" aca="1" ref="P8:R12" ca="1">D8:F12/Unit</f>
        <v>300</v>
      </c>
      <c r="Q8" s="11">
        <f ca="1"/>
        <v>299.63312605861466</v>
      </c>
      <c r="R8" s="13">
        <f ca="1"/>
        <v>-0.36687394138532875</v>
      </c>
      <c r="S8" s="26" cm="1">
        <f t="array" aca="1" ref="S8:S12" ca="1">(F8:F12-I8:I12)/Unit</f>
        <v>0.17942943347918988</v>
      </c>
      <c r="T8" s="14" cm="1">
        <f t="array" aca="1" ref="T8:T12" ca="1">(F8:F12-J8:J12)/Unit</f>
        <v>-8.1847830628633503E-2</v>
      </c>
      <c r="U8" s="31" cm="1" vm="55">
        <f t="array" aca="1" ref="U8:U12" ca="1">G8:G12</f>
        <v>4.2000000000000002E-4</v>
      </c>
      <c r="V8" s="14" cm="1" vm="47">
        <f t="array" aca="1" ref="V8:V12" ca="1">H8:H12</f>
        <v>0.31876389619855294</v>
      </c>
      <c r="W8" s="75"/>
    </row>
    <row r="9" spans="2:23">
      <c r="C9" s="9" t="str" vm="6">
        <f>CUBEMEMBER(Omajinai, "[D_銘柄分類].[分類].[中期]")</f>
        <v>中期</v>
      </c>
      <c r="D9" s="18" vm="21">
        <f t="shared" ca="1" si="0"/>
        <v>11900000000</v>
      </c>
      <c r="E9" s="18" vm="24">
        <f t="shared" ca="1" si="0"/>
        <v>11751558810.603601</v>
      </c>
      <c r="F9" s="18" vm="43">
        <f t="shared" ca="1" si="0"/>
        <v>-148441189.39639854</v>
      </c>
      <c r="G9" s="29" vm="54">
        <f t="shared" ca="1" si="0"/>
        <v>1.1956302521008402E-3</v>
      </c>
      <c r="H9" s="30" vm="48">
        <f t="shared" ca="1" si="0"/>
        <v>2.7310153577858181</v>
      </c>
      <c r="I9" s="18" vm="37">
        <f ca="1" xml:space="preserve"> CUBEVALUE(Omajinai, I$7, $C9, 基準前月)</f>
        <v>-159708401.27845383</v>
      </c>
      <c r="J9" s="18" vm="32">
        <f ca="1" xml:space="preserve"> CUBEVALUE(Omajinai, J$7, $C9, 前四半期末)</f>
        <v>-96531127.124862671</v>
      </c>
      <c r="K9" s="18" t="e">
        <f t="shared" si="1"/>
        <v>#N/A</v>
      </c>
      <c r="L9" s="18" t="e">
        <f t="shared" si="1"/>
        <v>#N/A</v>
      </c>
      <c r="N9" s="74"/>
      <c r="O9" s="24" t="s">
        <v>36</v>
      </c>
      <c r="P9" s="12">
        <f ca="1"/>
        <v>11900</v>
      </c>
      <c r="Q9" s="11">
        <f ca="1"/>
        <v>11751.558810603601</v>
      </c>
      <c r="R9" s="13">
        <f ca="1"/>
        <v>-148.44118939639856</v>
      </c>
      <c r="S9" s="26">
        <f ca="1"/>
        <v>11.267211882055282</v>
      </c>
      <c r="T9" s="14">
        <f ca="1"/>
        <v>-51.910062271535871</v>
      </c>
      <c r="U9" s="31" vm="54">
        <f ca="1"/>
        <v>1.1956302521008402E-3</v>
      </c>
      <c r="V9" s="14" vm="48">
        <f ca="1"/>
        <v>2.7310153577858181</v>
      </c>
      <c r="W9" s="75"/>
    </row>
    <row r="10" spans="2:23">
      <c r="C10" s="9" t="str" vm="7">
        <f>CUBEMEMBER(Omajinai, "[D_銘柄分類].[分類].[長期]")</f>
        <v>長期</v>
      </c>
      <c r="D10" s="18" vm="20">
        <f t="shared" ref="D10:E12" ca="1" si="2" xml:space="preserve"> CUBEVALUE(Omajinai, D$7, $C10,基準月)</f>
        <v>6000000000</v>
      </c>
      <c r="E10" s="18" vm="25">
        <f t="shared" ca="1" si="2"/>
        <v>5922816863.1072731</v>
      </c>
      <c r="F10" s="18" vm="44">
        <f t="shared" ref="F10:H11" ca="1" si="3" xml:space="preserve"> CUBEVALUE(Omajinai, F$7, $C10, 基準月)</f>
        <v>-77183136.892726898</v>
      </c>
      <c r="G10" s="29" vm="56">
        <f t="shared" ca="1" si="3"/>
        <v>2.1333333333333334E-3</v>
      </c>
      <c r="H10" s="30" vm="50">
        <f t="shared" ca="1" si="3"/>
        <v>3.5451177654159141</v>
      </c>
      <c r="I10" s="18" vm="38">
        <f ca="1" xml:space="preserve"> CUBEVALUE(Omajinai, I$7, $C10, 基準前月)</f>
        <v>-72874947.163106918</v>
      </c>
      <c r="J10" s="18" vm="33">
        <f ca="1" xml:space="preserve"> CUBEVALUE(Omajinai, J$7, $C10, 前四半期末)</f>
        <v>-35755923.67368412</v>
      </c>
      <c r="K10" s="18" t="e">
        <f t="shared" si="1"/>
        <v>#N/A</v>
      </c>
      <c r="L10" s="18" t="e">
        <f t="shared" si="1"/>
        <v>#N/A</v>
      </c>
      <c r="N10" s="74"/>
      <c r="O10" s="24" t="s">
        <v>37</v>
      </c>
      <c r="P10" s="12">
        <f ca="1"/>
        <v>6000</v>
      </c>
      <c r="Q10" s="11">
        <f ca="1"/>
        <v>5922.8168631072731</v>
      </c>
      <c r="R10" s="13">
        <f ca="1"/>
        <v>-77.183136892726893</v>
      </c>
      <c r="S10" s="26">
        <f ca="1"/>
        <v>-4.30818972961998</v>
      </c>
      <c r="T10" s="14">
        <f ca="1"/>
        <v>-41.427213219042777</v>
      </c>
      <c r="U10" s="31" vm="56">
        <f ca="1"/>
        <v>2.1333333333333334E-3</v>
      </c>
      <c r="V10" s="14" vm="50">
        <f ca="1"/>
        <v>3.5451177654159141</v>
      </c>
      <c r="W10" s="75"/>
    </row>
    <row r="11" spans="2:23" ht="18.5" thickBot="1">
      <c r="C11" s="9" t="str" vm="8">
        <f>CUBEMEMBER(Omajinai, "[D_銘柄分類].[分類].[超長期]")</f>
        <v>超長期</v>
      </c>
      <c r="D11" s="18" vm="22">
        <f t="shared" ca="1" si="2"/>
        <v>20000000000</v>
      </c>
      <c r="E11" s="18" vm="26">
        <f t="shared" ca="1" si="2"/>
        <v>21022906296.111622</v>
      </c>
      <c r="F11" s="18" vm="41">
        <f t="shared" ca="1" si="3"/>
        <v>1022906296.1116219</v>
      </c>
      <c r="G11" s="29" vm="53">
        <f t="shared" ca="1" si="3"/>
        <v>1.9894999999999999E-2</v>
      </c>
      <c r="H11" s="30" vm="49">
        <f t="shared" ca="1" si="3"/>
        <v>5.1442418105304473</v>
      </c>
      <c r="I11" s="18" vm="35">
        <f ca="1" xml:space="preserve"> CUBEVALUE(Omajinai, I$7, $C11, 基準前月)</f>
        <v>1249634082.9467163</v>
      </c>
      <c r="J11" s="18" vm="31">
        <f ca="1" xml:space="preserve"> CUBEVALUE(Omajinai, J$7, $C11, 前四半期末)</f>
        <v>1432216512.5632973</v>
      </c>
      <c r="K11" s="18" t="e">
        <f t="shared" si="1"/>
        <v>#N/A</v>
      </c>
      <c r="L11" s="18" t="e">
        <f t="shared" si="1"/>
        <v>#N/A</v>
      </c>
      <c r="N11" s="74"/>
      <c r="O11" s="25" t="s">
        <v>38</v>
      </c>
      <c r="P11" s="20">
        <f ca="1"/>
        <v>20000</v>
      </c>
      <c r="Q11" s="21">
        <f ca="1"/>
        <v>21022.906296111621</v>
      </c>
      <c r="R11" s="22">
        <f ca="1"/>
        <v>1022.9062961116218</v>
      </c>
      <c r="S11" s="27">
        <f ca="1"/>
        <v>-226.72778683509446</v>
      </c>
      <c r="T11" s="23">
        <f ca="1"/>
        <v>-409.31021645167539</v>
      </c>
      <c r="U11" s="33" vm="53">
        <f ca="1"/>
        <v>1.9894999999999999E-2</v>
      </c>
      <c r="V11" s="23" vm="49">
        <f ca="1"/>
        <v>5.1442418105304473</v>
      </c>
      <c r="W11" s="75"/>
    </row>
    <row r="12" spans="2:23" ht="18.5" thickTop="1">
      <c r="B12" s="8"/>
      <c r="C12" s="36" t="str" vm="29">
        <f>CUBEMEMBER(Omajinai, "[D_銘柄分類].[分類].[All]")</f>
        <v>All</v>
      </c>
      <c r="D12" s="44" vm="46">
        <f t="shared" ca="1" si="2"/>
        <v>38200000000</v>
      </c>
      <c r="E12" s="44" vm="39">
        <f t="shared" ca="1" si="2"/>
        <v>38996915095.881111</v>
      </c>
      <c r="F12" s="44" vm="40">
        <f ca="1" xml:space="preserve"> CUBEVALUE(Omajinai, F$7, $C12,基準月)</f>
        <v>796915095.88111115</v>
      </c>
      <c r="G12" s="45" vm="57">
        <f ca="1" xml:space="preserve"> CUBEVALUE(Omajinai, G$7, $C12,基準月)</f>
        <v>1.1127068062827225E-2</v>
      </c>
      <c r="H12" s="46" vm="51">
        <f ca="1" xml:space="preserve"> CUBEVALUE(Omajinai, H$7, $C12,基準月)</f>
        <v>4.1034098096757914</v>
      </c>
      <c r="I12" s="44" vm="34">
        <f ca="1" xml:space="preserve"> CUBEVALUE(Omajinai, I$7, $C12,基準前月)</f>
        <v>1016504431.1302795</v>
      </c>
      <c r="J12" s="44" vm="30">
        <f ca="1" xml:space="preserve"> CUBEVALUE(Omajinai, J$7, $C12,前四半期末)</f>
        <v>1299644435.6539917</v>
      </c>
      <c r="K12" s="44" t="e">
        <f xml:space="preserve"> CUBEVALUE(Omajinai, K$7, $C12,K6)</f>
        <v>#N/A</v>
      </c>
      <c r="L12" s="44" t="e">
        <f xml:space="preserve"> CUBEVALUE(Omajinai, L$7, $C12,L6)</f>
        <v>#N/A</v>
      </c>
      <c r="N12" s="74"/>
      <c r="O12" s="10" t="s">
        <v>50</v>
      </c>
      <c r="P12" s="15">
        <f ca="1"/>
        <v>38200</v>
      </c>
      <c r="Q12" s="16">
        <f ca="1"/>
        <v>38996.915095881108</v>
      </c>
      <c r="R12" s="17">
        <f ca="1"/>
        <v>796.91509588111114</v>
      </c>
      <c r="S12" s="28">
        <f ca="1"/>
        <v>-219.58933524916839</v>
      </c>
      <c r="T12" s="19">
        <f ca="1"/>
        <v>-502.72933977288056</v>
      </c>
      <c r="U12" s="32" vm="57">
        <f ca="1"/>
        <v>1.1127068062827225E-2</v>
      </c>
      <c r="V12" s="19" vm="51">
        <f ca="1"/>
        <v>4.1034098096757914</v>
      </c>
      <c r="W12" s="75"/>
    </row>
    <row r="13" spans="2:23">
      <c r="D13" s="18"/>
      <c r="E13" s="18"/>
      <c r="F13" s="18"/>
      <c r="G13" s="18"/>
      <c r="H13" s="18"/>
      <c r="I13" s="18"/>
      <c r="J13" s="18"/>
      <c r="K13" s="18"/>
      <c r="L13" s="18"/>
      <c r="N13" s="74"/>
      <c r="O13" s="76"/>
      <c r="P13" s="12"/>
      <c r="Q13" s="12"/>
      <c r="R13" s="77"/>
      <c r="S13" s="77"/>
      <c r="T13" s="78" t="s">
        <v>46</v>
      </c>
      <c r="U13" s="78"/>
      <c r="V13" s="78"/>
      <c r="W13" s="75"/>
    </row>
    <row r="14" spans="2:23" ht="18.5" thickBot="1">
      <c r="N14" s="79"/>
      <c r="O14" s="80"/>
      <c r="P14" s="80"/>
      <c r="Q14" s="80"/>
      <c r="R14" s="80"/>
      <c r="S14" s="80"/>
      <c r="T14" s="80"/>
      <c r="U14" s="80"/>
      <c r="V14" s="80"/>
      <c r="W14" s="81"/>
    </row>
    <row r="15" spans="2:23" ht="18.5" thickBot="1">
      <c r="W15" s="34"/>
    </row>
    <row r="16" spans="2:23" outlineLevel="1">
      <c r="B16" s="55" t="s">
        <v>33</v>
      </c>
      <c r="C16" s="56"/>
      <c r="D16" s="57"/>
    </row>
    <row r="17" spans="2:14" ht="18.5" outlineLevel="1" thickBot="1">
      <c r="B17" s="58" t="s">
        <v>34</v>
      </c>
      <c r="C17" s="59"/>
      <c r="D17" s="60"/>
    </row>
    <row r="18" spans="2:14" ht="18.5" outlineLevel="1" thickBot="1"/>
    <row r="19" spans="2:14" outlineLevel="1">
      <c r="B19" s="52" t="s">
        <v>49</v>
      </c>
      <c r="D19" s="52" t="s">
        <v>1</v>
      </c>
    </row>
    <row r="20" spans="2:14" outlineLevel="1">
      <c r="B20" s="53" t="str" vm="3">
        <f>CUBEMEMBER(Omajinai, "[Measures].[M_簿価]")</f>
        <v>M_簿価</v>
      </c>
      <c r="D20" s="53" t="str" vm="9">
        <f>CUBEMEMBER(Omajinai, "[C_カレンダー].[年月].[" &amp; TEXT("2024/4/1", "yyyy年MM月") &amp; "]")</f>
        <v>2024年04月</v>
      </c>
    </row>
    <row r="21" spans="2:14" outlineLevel="1">
      <c r="B21" s="53" t="str" vm="5">
        <f>CUBEMEMBER(Omajinai, "[Measures].[M_時価]")</f>
        <v>M_時価</v>
      </c>
      <c r="D21" s="53" t="str" vm="14">
        <f>CUBEMEMBER(Omajinai, "[C_カレンダー].[年月].[" &amp; TEXT("2024/5/1", "yyyy年MM月") &amp; "]")</f>
        <v>2024年05月</v>
      </c>
    </row>
    <row r="22" spans="2:14" outlineLevel="1">
      <c r="B22" s="53" t="str" vm="27">
        <f>CUBEMEMBER(Omajinai, "[Measures].[M_評価損益]")</f>
        <v>M_評価損益</v>
      </c>
      <c r="D22" s="53" t="str" vm="11">
        <f>CUBEMEMBER(Omajinai, "[C_カレンダー].[年月].[" &amp; TEXT("2024/6/1", "yyyy年MM月") &amp; "]")</f>
        <v>2024年06月</v>
      </c>
    </row>
    <row r="23" spans="2:14" outlineLevel="1">
      <c r="B23" s="53" t="str" vm="52">
        <f>CUBEMEMBER(Omajinai, "[Measures].[M_利率]")</f>
        <v>M_利率</v>
      </c>
      <c r="D23" s="53" t="str" vm="17">
        <f>CUBEMEMBER(Omajinai, "[C_カレンダー].[年月].[" &amp; TEXT("2024/7/1", "yyyy年MM月") &amp; "]")</f>
        <v>2024年07月</v>
      </c>
    </row>
    <row r="24" spans="2:14" ht="18.5" outlineLevel="1" thickBot="1">
      <c r="B24" s="54" t="str" vm="45">
        <f>CUBEMEMBER(Omajinai, "[Measures].[M_修正Dur]")</f>
        <v>M_修正Dur</v>
      </c>
      <c r="D24" s="53" t="str" vm="2">
        <f>CUBEMEMBER(Omajinai, "[C_カレンダー].[年月].[" &amp; TEXT("2024/8/1", "yyyy年MM月") &amp; "]")</f>
        <v>2024年08月</v>
      </c>
    </row>
    <row r="25" spans="2:14" outlineLevel="1">
      <c r="D25" s="53" t="str" vm="15">
        <f>CUBEMEMBER(Omajinai, "[C_カレンダー].[年月].[" &amp; TEXT("2024/9/1", "yyyy年MM月") &amp; "]")</f>
        <v>2024年09月</v>
      </c>
      <c r="K25" s="7"/>
      <c r="L25" s="7"/>
      <c r="M25" s="7"/>
      <c r="N25" s="7"/>
    </row>
    <row r="26" spans="2:14" outlineLevel="1">
      <c r="D26" s="53" t="str" vm="1">
        <f>CUBEMEMBER(Omajinai, "[C_カレンダー].[年月].[" &amp; TEXT("2024/10/1", "yyyy年MM月") &amp; "]")</f>
        <v>2024年10月</v>
      </c>
      <c r="K26" s="7"/>
      <c r="L26" s="7"/>
      <c r="M26" s="7"/>
      <c r="N26" s="7"/>
    </row>
    <row r="27" spans="2:14" outlineLevel="1">
      <c r="D27" s="53" t="str" vm="13">
        <f>CUBEMEMBER(Omajinai, "[C_カレンダー].[年月].[" &amp; TEXT("2024/11/1", "yyyy年MM月") &amp; "]")</f>
        <v>2024年11月</v>
      </c>
      <c r="K27" s="7"/>
      <c r="L27" s="7"/>
      <c r="M27" s="7"/>
      <c r="N27" s="7"/>
    </row>
    <row r="28" spans="2:14" outlineLevel="1">
      <c r="D28" s="53" t="str" vm="10">
        <f>CUBEMEMBER(Omajinai, "[C_カレンダー].[年月].[" &amp; TEXT("2024/12/1", "yyyy年MM月") &amp; "]")</f>
        <v>2024年12月</v>
      </c>
      <c r="K28" s="7"/>
    </row>
    <row r="29" spans="2:14" outlineLevel="1">
      <c r="D29" s="53" t="str" vm="16">
        <f>CUBEMEMBER(Omajinai, "[C_カレンダー].[年月].[" &amp; TEXT("2025/1/1", "yyyy年MM月") &amp; "]")</f>
        <v>2025年01月</v>
      </c>
    </row>
    <row r="30" spans="2:14" outlineLevel="1">
      <c r="D30" s="53" t="str" vm="12">
        <f>CUBEMEMBER(Omajinai, "[C_カレンダー].[年月].[" &amp; TEXT("2025/2/1", "yyyy年MM月") &amp; "]")</f>
        <v>2025年02月</v>
      </c>
    </row>
    <row r="31" spans="2:14" ht="18.5" outlineLevel="1" thickBot="1">
      <c r="D31" s="54" t="str" vm="18">
        <f>CUBEMEMBER(Omajinai, "[C_カレンダー].[年月].[" &amp; TEXT("2025/3/1", "yyyy年MM月") &amp; "]")</f>
        <v>2025年03月</v>
      </c>
      <c r="K31" s="7"/>
    </row>
  </sheetData>
  <mergeCells count="6">
    <mergeCell ref="O6:O7"/>
    <mergeCell ref="U6:U7"/>
    <mergeCell ref="V6:V7"/>
    <mergeCell ref="R6:R7"/>
    <mergeCell ref="Q6:Q7"/>
    <mergeCell ref="P6:P7"/>
  </mergeCells>
  <phoneticPr fontId="2"/>
  <conditionalFormatting sqref="D4">
    <cfRule type="expression" dxfId="1" priority="1">
      <formula>$D$3&lt;&gt;"自動"</formula>
    </cfRule>
    <cfRule type="expression" dxfId="0" priority="2">
      <formula>$D$3="自動"</formula>
    </cfRule>
  </conditionalFormatting>
  <dataValidations disablePrompts="1" count="3">
    <dataValidation type="list" allowBlank="1" showInputMessage="1" showErrorMessage="1" sqref="D3" xr:uid="{8E6C91A1-0BD0-4278-A145-FF64C8650CFD}">
      <formula1>"自動, 手動"</formula1>
    </dataValidation>
    <dataValidation type="list" allowBlank="1" showInputMessage="1" showErrorMessage="1" sqref="K6:L6 D4" xr:uid="{36EA0F52-98DE-43FC-A835-8EF2AF451098}">
      <formula1>ListKijunBi</formula1>
    </dataValidation>
    <dataValidation type="list" allowBlank="1" showInputMessage="1" showErrorMessage="1" sqref="D7:L7" xr:uid="{CE794689-9E92-4B51-A0C3-723440D83C44}">
      <formula1>ListMeasures</formula1>
    </dataValidation>
  </dataValidation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722E-5CAE-4976-995F-D78181F29854}">
  <sheetPr>
    <tabColor theme="2"/>
  </sheetPr>
  <dimension ref="B2:I101"/>
  <sheetViews>
    <sheetView showGridLines="0" workbookViewId="0"/>
  </sheetViews>
  <sheetFormatPr defaultColWidth="8.83203125" defaultRowHeight="18"/>
  <cols>
    <col min="2" max="2" width="10.83203125" bestFit="1" customWidth="1"/>
    <col min="3" max="3" width="26.83203125" bestFit="1" customWidth="1"/>
    <col min="4" max="4" width="9.75" bestFit="1" customWidth="1"/>
    <col min="5" max="5" width="10.83203125" bestFit="1" customWidth="1"/>
    <col min="6" max="6" width="8" bestFit="1" customWidth="1"/>
    <col min="7" max="8" width="12.08203125" bestFit="1" customWidth="1"/>
    <col min="9" max="9" width="19.83203125" bestFit="1" customWidth="1"/>
  </cols>
  <sheetData>
    <row r="2" spans="2:9">
      <c r="B2" t="s">
        <v>2</v>
      </c>
    </row>
    <row r="4" spans="2:9"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2:9">
      <c r="B5" s="1">
        <v>45412</v>
      </c>
      <c r="C5" t="s">
        <v>10</v>
      </c>
      <c r="D5" s="1">
        <v>45047</v>
      </c>
      <c r="E5" s="1">
        <v>45778</v>
      </c>
      <c r="F5">
        <v>4.2000000000000002E-4</v>
      </c>
      <c r="G5">
        <v>300000000</v>
      </c>
      <c r="H5">
        <v>299900327.24423051</v>
      </c>
      <c r="I5">
        <v>0.99941527798414354</v>
      </c>
    </row>
    <row r="6" spans="2:9">
      <c r="B6" s="1">
        <v>45412</v>
      </c>
      <c r="C6" t="s">
        <v>11</v>
      </c>
      <c r="D6" s="1">
        <v>43901</v>
      </c>
      <c r="E6" s="1">
        <v>45646</v>
      </c>
      <c r="F6">
        <v>-2.2000000000000001E-3</v>
      </c>
      <c r="G6">
        <v>6000000000</v>
      </c>
      <c r="H6">
        <v>5983165178.9794598</v>
      </c>
      <c r="I6">
        <v>0.63636031519655201</v>
      </c>
    </row>
    <row r="7" spans="2:9">
      <c r="B7" s="1">
        <v>45412</v>
      </c>
      <c r="C7" t="s">
        <v>12</v>
      </c>
      <c r="D7" s="1">
        <v>44818</v>
      </c>
      <c r="E7" s="1">
        <v>46558</v>
      </c>
      <c r="F7">
        <v>4.0000000000000002E-4</v>
      </c>
      <c r="G7">
        <v>10000000000</v>
      </c>
      <c r="H7">
        <v>9913175182.3786106</v>
      </c>
      <c r="I7">
        <v>3.1317189191940518</v>
      </c>
    </row>
    <row r="8" spans="2:9">
      <c r="B8" s="1">
        <v>45412</v>
      </c>
      <c r="C8" t="s">
        <v>13</v>
      </c>
      <c r="D8" s="1">
        <v>41904</v>
      </c>
      <c r="E8" s="1">
        <v>45555</v>
      </c>
      <c r="F8">
        <v>5.1700000000000001E-3</v>
      </c>
      <c r="G8">
        <v>1000000000</v>
      </c>
      <c r="H8">
        <v>1002200401.2996463</v>
      </c>
      <c r="I8">
        <v>0.3859277956828186</v>
      </c>
    </row>
    <row r="9" spans="2:9">
      <c r="B9" s="1">
        <v>45412</v>
      </c>
      <c r="C9" t="s">
        <v>14</v>
      </c>
      <c r="D9" s="1">
        <v>42950</v>
      </c>
      <c r="E9" s="1">
        <v>46558</v>
      </c>
      <c r="F9">
        <v>7.2999999999999996E-4</v>
      </c>
      <c r="G9">
        <v>5000000000</v>
      </c>
      <c r="H9">
        <v>4962342262.1502943</v>
      </c>
      <c r="I9">
        <v>3.129981784601148</v>
      </c>
    </row>
    <row r="10" spans="2:9">
      <c r="B10" s="1">
        <v>45412</v>
      </c>
      <c r="C10" t="s">
        <v>15</v>
      </c>
      <c r="D10" s="1">
        <v>39294</v>
      </c>
      <c r="E10" s="1">
        <v>46558</v>
      </c>
      <c r="F10">
        <v>2.2929999999999999E-2</v>
      </c>
      <c r="G10">
        <v>10000000000</v>
      </c>
      <c r="H10">
        <v>10698949344.506502</v>
      </c>
      <c r="I10">
        <v>3.0217003034446726</v>
      </c>
    </row>
    <row r="11" spans="2:9">
      <c r="B11" s="1">
        <v>45412</v>
      </c>
      <c r="C11" t="s">
        <v>16</v>
      </c>
      <c r="D11" s="1">
        <v>41445</v>
      </c>
      <c r="E11" s="1">
        <v>48750</v>
      </c>
      <c r="F11">
        <v>1.686E-2</v>
      </c>
      <c r="G11">
        <v>15000000000</v>
      </c>
      <c r="H11">
        <v>16277242034.502209</v>
      </c>
      <c r="I11">
        <v>8.4538383883477159</v>
      </c>
    </row>
    <row r="12" spans="2:9">
      <c r="B12" s="1">
        <v>45443</v>
      </c>
      <c r="C12" t="s">
        <v>10</v>
      </c>
      <c r="D12" s="1">
        <v>45047</v>
      </c>
      <c r="E12" s="1">
        <v>45778</v>
      </c>
      <c r="F12">
        <v>4.2000000000000002E-4</v>
      </c>
      <c r="G12">
        <v>300000000</v>
      </c>
      <c r="H12">
        <v>299481426.36493248</v>
      </c>
      <c r="I12">
        <v>0.90994140547232016</v>
      </c>
    </row>
    <row r="13" spans="2:9">
      <c r="B13" s="1">
        <v>45443</v>
      </c>
      <c r="C13" t="s">
        <v>11</v>
      </c>
      <c r="D13" s="1">
        <v>43901</v>
      </c>
      <c r="E13" s="1">
        <v>45646</v>
      </c>
      <c r="F13">
        <v>-2.2000000000000001E-3</v>
      </c>
      <c r="G13">
        <v>6000000000</v>
      </c>
      <c r="H13">
        <v>5979019085.915123</v>
      </c>
      <c r="I13">
        <v>0.54713393651578235</v>
      </c>
    </row>
    <row r="14" spans="2:9">
      <c r="B14" s="1">
        <v>45443</v>
      </c>
      <c r="C14" t="s">
        <v>12</v>
      </c>
      <c r="D14" s="1">
        <v>44818</v>
      </c>
      <c r="E14" s="1">
        <v>46558</v>
      </c>
      <c r="F14">
        <v>4.0000000000000002E-4</v>
      </c>
      <c r="G14">
        <v>10000000000</v>
      </c>
      <c r="H14">
        <v>9875376728.6618671</v>
      </c>
      <c r="I14">
        <v>3.040926049860599</v>
      </c>
    </row>
    <row r="15" spans="2:9">
      <c r="B15" s="1">
        <v>45443</v>
      </c>
      <c r="C15" t="s">
        <v>13</v>
      </c>
      <c r="D15" s="1">
        <v>41904</v>
      </c>
      <c r="E15" s="1">
        <v>45555</v>
      </c>
      <c r="F15">
        <v>5.1700000000000001E-3</v>
      </c>
      <c r="G15">
        <v>1000000000</v>
      </c>
      <c r="H15">
        <v>1001854479.2883139</v>
      </c>
      <c r="I15">
        <v>0.29687488007945489</v>
      </c>
    </row>
    <row r="16" spans="2:9">
      <c r="B16" s="1">
        <v>45443</v>
      </c>
      <c r="C16" t="s">
        <v>14</v>
      </c>
      <c r="D16" s="1">
        <v>42950</v>
      </c>
      <c r="E16" s="1">
        <v>46558</v>
      </c>
      <c r="F16">
        <v>7.2999999999999996E-4</v>
      </c>
      <c r="G16">
        <v>5000000000</v>
      </c>
      <c r="H16">
        <v>4943432743.8656416</v>
      </c>
      <c r="I16">
        <v>3.039185029397049</v>
      </c>
    </row>
    <row r="17" spans="2:9">
      <c r="B17" s="1">
        <v>45443</v>
      </c>
      <c r="C17" t="s">
        <v>15</v>
      </c>
      <c r="D17" s="1">
        <v>39294</v>
      </c>
      <c r="E17" s="1">
        <v>46558</v>
      </c>
      <c r="F17">
        <v>2.2929999999999999E-2</v>
      </c>
      <c r="G17">
        <v>10000000000</v>
      </c>
      <c r="H17">
        <v>10659745643.310165</v>
      </c>
      <c r="I17">
        <v>2.9306782198157069</v>
      </c>
    </row>
    <row r="18" spans="2:9">
      <c r="B18" s="1">
        <v>45443</v>
      </c>
      <c r="C18" t="s">
        <v>16</v>
      </c>
      <c r="D18" s="1">
        <v>41445</v>
      </c>
      <c r="E18" s="1">
        <v>48750</v>
      </c>
      <c r="F18">
        <v>1.686E-2</v>
      </c>
      <c r="G18">
        <v>15000000000</v>
      </c>
      <c r="H18">
        <v>16052353641.829233</v>
      </c>
      <c r="I18">
        <v>8.3517621586957524</v>
      </c>
    </row>
    <row r="19" spans="2:9">
      <c r="B19" s="1">
        <v>45471</v>
      </c>
      <c r="C19" t="s">
        <v>10</v>
      </c>
      <c r="D19" s="1">
        <v>45047</v>
      </c>
      <c r="E19" s="1">
        <v>45778</v>
      </c>
      <c r="F19">
        <v>4.2000000000000002E-4</v>
      </c>
      <c r="G19">
        <v>300000000</v>
      </c>
      <c r="H19">
        <v>299692075.06968844</v>
      </c>
      <c r="I19">
        <v>0.83251232955091281</v>
      </c>
    </row>
    <row r="20" spans="2:9">
      <c r="B20" s="1">
        <v>45471</v>
      </c>
      <c r="C20" t="s">
        <v>11</v>
      </c>
      <c r="D20" s="1">
        <v>43901</v>
      </c>
      <c r="E20" s="1">
        <v>45646</v>
      </c>
      <c r="F20">
        <v>-2.2000000000000001E-3</v>
      </c>
      <c r="G20">
        <v>6000000000</v>
      </c>
      <c r="H20">
        <v>5988478924.4402428</v>
      </c>
      <c r="I20">
        <v>0.46904107080377039</v>
      </c>
    </row>
    <row r="21" spans="2:9">
      <c r="B21" s="1">
        <v>45471</v>
      </c>
      <c r="C21" t="s">
        <v>12</v>
      </c>
      <c r="D21" s="1">
        <v>44818</v>
      </c>
      <c r="E21" s="1">
        <v>46558</v>
      </c>
      <c r="F21">
        <v>4.0000000000000002E-4</v>
      </c>
      <c r="G21">
        <v>10000000000</v>
      </c>
      <c r="H21">
        <v>9898440992.6775455</v>
      </c>
      <c r="I21">
        <v>2.9650191865792173</v>
      </c>
    </row>
    <row r="22" spans="2:9">
      <c r="B22" s="1">
        <v>45471</v>
      </c>
      <c r="C22" t="s">
        <v>17</v>
      </c>
      <c r="D22" s="1">
        <v>45464</v>
      </c>
      <c r="E22" s="1">
        <v>47197</v>
      </c>
      <c r="F22">
        <v>5.1200000000000004E-3</v>
      </c>
      <c r="G22">
        <v>1400000000</v>
      </c>
      <c r="H22">
        <v>1396063763.751895</v>
      </c>
      <c r="I22">
        <v>4.6573514721362104</v>
      </c>
    </row>
    <row r="23" spans="2:9">
      <c r="B23" s="1">
        <v>45471</v>
      </c>
      <c r="C23" t="s">
        <v>13</v>
      </c>
      <c r="D23" s="1">
        <v>41904</v>
      </c>
      <c r="E23" s="1">
        <v>45555</v>
      </c>
      <c r="F23">
        <v>5.1700000000000001E-3</v>
      </c>
      <c r="G23">
        <v>1000000000</v>
      </c>
      <c r="H23">
        <v>1002178101.9961613</v>
      </c>
      <c r="I23">
        <v>0.21925588516862643</v>
      </c>
    </row>
    <row r="24" spans="2:9">
      <c r="B24" s="1">
        <v>45471</v>
      </c>
      <c r="C24" t="s">
        <v>14</v>
      </c>
      <c r="D24" s="1">
        <v>42950</v>
      </c>
      <c r="E24" s="1">
        <v>46558</v>
      </c>
      <c r="F24">
        <v>7.2999999999999996E-4</v>
      </c>
      <c r="G24">
        <v>5000000000</v>
      </c>
      <c r="H24">
        <v>4954146873.5546551</v>
      </c>
      <c r="I24">
        <v>2.9637777226613693</v>
      </c>
    </row>
    <row r="25" spans="2:9">
      <c r="B25" s="1">
        <v>45471</v>
      </c>
      <c r="C25" t="s">
        <v>15</v>
      </c>
      <c r="D25" s="1">
        <v>39294</v>
      </c>
      <c r="E25" s="1">
        <v>46558</v>
      </c>
      <c r="F25">
        <v>2.2929999999999999E-2</v>
      </c>
      <c r="G25">
        <v>10000000000</v>
      </c>
      <c r="H25">
        <v>10571115408.882504</v>
      </c>
      <c r="I25">
        <v>2.8855735647676157</v>
      </c>
    </row>
    <row r="26" spans="2:9">
      <c r="B26" s="1">
        <v>45471</v>
      </c>
      <c r="C26" t="s">
        <v>16</v>
      </c>
      <c r="D26" s="1">
        <v>41445</v>
      </c>
      <c r="E26" s="1">
        <v>48750</v>
      </c>
      <c r="F26">
        <v>1.686E-2</v>
      </c>
      <c r="G26">
        <v>15000000000</v>
      </c>
      <c r="H26">
        <v>15980774437.902958</v>
      </c>
      <c r="I26">
        <v>8.34259123433411</v>
      </c>
    </row>
    <row r="27" spans="2:9">
      <c r="B27" s="1">
        <v>45504</v>
      </c>
      <c r="C27" t="s">
        <v>10</v>
      </c>
      <c r="D27" s="1">
        <v>45047</v>
      </c>
      <c r="E27" s="1">
        <v>45778</v>
      </c>
      <c r="F27">
        <v>4.2000000000000002E-4</v>
      </c>
      <c r="G27">
        <v>300000000</v>
      </c>
      <c r="H27">
        <v>299505853.64194745</v>
      </c>
      <c r="I27">
        <v>0.7488652124793409</v>
      </c>
    </row>
    <row r="28" spans="2:9">
      <c r="B28" s="1">
        <v>45504</v>
      </c>
      <c r="C28" t="s">
        <v>11</v>
      </c>
      <c r="D28" s="1">
        <v>43901</v>
      </c>
      <c r="E28" s="1">
        <v>45646</v>
      </c>
      <c r="F28">
        <v>-2.2000000000000001E-3</v>
      </c>
      <c r="G28">
        <v>6000000000</v>
      </c>
      <c r="H28">
        <v>5986998227.8621464</v>
      </c>
      <c r="I28">
        <v>0.38558093852996711</v>
      </c>
    </row>
    <row r="29" spans="2:9">
      <c r="B29" s="1">
        <v>45504</v>
      </c>
      <c r="C29" t="s">
        <v>12</v>
      </c>
      <c r="D29" s="1">
        <v>44818</v>
      </c>
      <c r="E29" s="1">
        <v>46558</v>
      </c>
      <c r="F29">
        <v>4.0000000000000002E-4</v>
      </c>
      <c r="G29">
        <v>10000000000</v>
      </c>
      <c r="H29">
        <v>9872180192.1748161</v>
      </c>
      <c r="I29">
        <v>2.880354454548617</v>
      </c>
    </row>
    <row r="30" spans="2:9">
      <c r="B30" s="1">
        <v>45504</v>
      </c>
      <c r="C30" t="s">
        <v>17</v>
      </c>
      <c r="D30" s="1">
        <v>45464</v>
      </c>
      <c r="E30" s="1">
        <v>47197</v>
      </c>
      <c r="F30">
        <v>5.1200000000000004E-3</v>
      </c>
      <c r="G30">
        <v>1400000000</v>
      </c>
      <c r="H30">
        <v>1392414834.6729994</v>
      </c>
      <c r="I30">
        <v>4.5726072960362583</v>
      </c>
    </row>
    <row r="31" spans="2:9">
      <c r="B31" s="1">
        <v>45504</v>
      </c>
      <c r="C31" t="s">
        <v>18</v>
      </c>
      <c r="D31" s="1">
        <v>45483</v>
      </c>
      <c r="E31" s="1">
        <v>47289</v>
      </c>
      <c r="F31">
        <v>6.1199999999999996E-3</v>
      </c>
      <c r="G31">
        <v>500000000</v>
      </c>
      <c r="H31">
        <v>498954604.39434838</v>
      </c>
      <c r="I31">
        <v>4.803506036167521</v>
      </c>
    </row>
    <row r="32" spans="2:9">
      <c r="B32" s="1">
        <v>45504</v>
      </c>
      <c r="C32" t="s">
        <v>13</v>
      </c>
      <c r="D32" s="1">
        <v>41904</v>
      </c>
      <c r="E32" s="1">
        <v>45555</v>
      </c>
      <c r="F32">
        <v>5.1700000000000001E-3</v>
      </c>
      <c r="G32">
        <v>1000000000</v>
      </c>
      <c r="H32">
        <v>1002188049.3713156</v>
      </c>
      <c r="I32">
        <v>0.13592421574077973</v>
      </c>
    </row>
    <row r="33" spans="2:9">
      <c r="B33" s="1">
        <v>45504</v>
      </c>
      <c r="C33" t="s">
        <v>14</v>
      </c>
      <c r="D33" s="1">
        <v>42950</v>
      </c>
      <c r="E33" s="1">
        <v>46558</v>
      </c>
      <c r="F33">
        <v>7.2999999999999996E-4</v>
      </c>
      <c r="G33">
        <v>5000000000</v>
      </c>
      <c r="H33">
        <v>4941009916.5340128</v>
      </c>
      <c r="I33">
        <v>2.8791112976615016</v>
      </c>
    </row>
    <row r="34" spans="2:9">
      <c r="B34" s="1">
        <v>45504</v>
      </c>
      <c r="C34" t="s">
        <v>15</v>
      </c>
      <c r="D34" s="1">
        <v>39294</v>
      </c>
      <c r="E34" s="1">
        <v>46558</v>
      </c>
      <c r="F34">
        <v>2.2929999999999999E-2</v>
      </c>
      <c r="G34">
        <v>10000000000</v>
      </c>
      <c r="H34">
        <v>10543959311.338461</v>
      </c>
      <c r="I34">
        <v>2.8008070239632414</v>
      </c>
    </row>
    <row r="35" spans="2:9">
      <c r="B35" s="1">
        <v>45504</v>
      </c>
      <c r="C35" t="s">
        <v>16</v>
      </c>
      <c r="D35" s="1">
        <v>41445</v>
      </c>
      <c r="E35" s="1">
        <v>48750</v>
      </c>
      <c r="F35">
        <v>1.686E-2</v>
      </c>
      <c r="G35">
        <v>15000000000</v>
      </c>
      <c r="H35">
        <v>15967972193.959608</v>
      </c>
      <c r="I35">
        <v>8.2582668111601549</v>
      </c>
    </row>
    <row r="36" spans="2:9">
      <c r="B36" s="1">
        <v>45534</v>
      </c>
      <c r="C36" t="s">
        <v>10</v>
      </c>
      <c r="D36" s="1">
        <v>45047</v>
      </c>
      <c r="E36" s="1">
        <v>45778</v>
      </c>
      <c r="F36">
        <v>4.2000000000000002E-4</v>
      </c>
      <c r="G36">
        <v>300000000</v>
      </c>
      <c r="H36">
        <v>299616506.73973644</v>
      </c>
      <c r="I36">
        <v>0.66294186351952433</v>
      </c>
    </row>
    <row r="37" spans="2:9">
      <c r="B37" s="1">
        <v>45534</v>
      </c>
      <c r="C37" t="s">
        <v>11</v>
      </c>
      <c r="D37" s="1">
        <v>43901</v>
      </c>
      <c r="E37" s="1">
        <v>45646</v>
      </c>
      <c r="F37">
        <v>-2.2000000000000001E-3</v>
      </c>
      <c r="G37">
        <v>6000000000</v>
      </c>
      <c r="H37">
        <v>5988753217.508297</v>
      </c>
      <c r="I37">
        <v>0.29961948324805998</v>
      </c>
    </row>
    <row r="38" spans="2:9">
      <c r="B38" s="1">
        <v>45534</v>
      </c>
      <c r="C38" t="s">
        <v>12</v>
      </c>
      <c r="D38" s="1">
        <v>44818</v>
      </c>
      <c r="E38" s="1">
        <v>46558</v>
      </c>
      <c r="F38">
        <v>4.0000000000000002E-4</v>
      </c>
      <c r="G38">
        <v>10000000000</v>
      </c>
      <c r="H38">
        <v>9906930566.5404415</v>
      </c>
      <c r="I38">
        <v>2.7960029690603951</v>
      </c>
    </row>
    <row r="39" spans="2:9">
      <c r="B39" s="1">
        <v>45534</v>
      </c>
      <c r="C39" t="s">
        <v>17</v>
      </c>
      <c r="D39" s="1">
        <v>45464</v>
      </c>
      <c r="E39" s="1">
        <v>47197</v>
      </c>
      <c r="F39">
        <v>5.1200000000000004E-3</v>
      </c>
      <c r="G39">
        <v>1400000000</v>
      </c>
      <c r="H39">
        <v>1403765677.9677618</v>
      </c>
      <c r="I39">
        <v>4.4908044344145877</v>
      </c>
    </row>
    <row r="40" spans="2:9">
      <c r="B40" s="1">
        <v>45534</v>
      </c>
      <c r="C40" t="s">
        <v>18</v>
      </c>
      <c r="D40" s="1">
        <v>45483</v>
      </c>
      <c r="E40" s="1">
        <v>47289</v>
      </c>
      <c r="F40">
        <v>6.1199999999999996E-3</v>
      </c>
      <c r="G40">
        <v>500000000</v>
      </c>
      <c r="H40">
        <v>503315583.18973738</v>
      </c>
      <c r="I40">
        <v>4.7220879309753263</v>
      </c>
    </row>
    <row r="41" spans="2:9">
      <c r="B41" s="1">
        <v>45534</v>
      </c>
      <c r="C41" t="s">
        <v>13</v>
      </c>
      <c r="D41" s="1">
        <v>41904</v>
      </c>
      <c r="E41" s="1">
        <v>45555</v>
      </c>
      <c r="F41">
        <v>5.1700000000000001E-3</v>
      </c>
      <c r="G41">
        <v>1000000000</v>
      </c>
      <c r="H41">
        <v>1002429265.0134437</v>
      </c>
      <c r="I41">
        <v>4.9936580541343319E-2</v>
      </c>
    </row>
    <row r="42" spans="2:9">
      <c r="B42" s="1">
        <v>45534</v>
      </c>
      <c r="C42" t="s">
        <v>14</v>
      </c>
      <c r="D42" s="1">
        <v>42950</v>
      </c>
      <c r="E42" s="1">
        <v>46558</v>
      </c>
      <c r="F42">
        <v>7.2999999999999996E-4</v>
      </c>
      <c r="G42">
        <v>5000000000</v>
      </c>
      <c r="H42">
        <v>4958393340.1140232</v>
      </c>
      <c r="I42">
        <v>2.7947614258765805</v>
      </c>
    </row>
    <row r="43" spans="2:9">
      <c r="B43" s="1">
        <v>45534</v>
      </c>
      <c r="C43" t="s">
        <v>15</v>
      </c>
      <c r="D43" s="1">
        <v>39294</v>
      </c>
      <c r="E43" s="1">
        <v>46558</v>
      </c>
      <c r="F43">
        <v>2.2929999999999999E-2</v>
      </c>
      <c r="G43">
        <v>10000000000</v>
      </c>
      <c r="H43">
        <v>10579834328.303286</v>
      </c>
      <c r="I43">
        <v>2.7165500346386051</v>
      </c>
    </row>
    <row r="44" spans="2:9">
      <c r="B44" s="1">
        <v>45534</v>
      </c>
      <c r="C44" t="s">
        <v>16</v>
      </c>
      <c r="D44" s="1">
        <v>41445</v>
      </c>
      <c r="E44" s="1">
        <v>48750</v>
      </c>
      <c r="F44">
        <v>1.686E-2</v>
      </c>
      <c r="G44">
        <v>10000000000</v>
      </c>
      <c r="H44">
        <v>10813244213.160826</v>
      </c>
      <c r="I44">
        <v>8.1855211545203961</v>
      </c>
    </row>
    <row r="45" spans="2:9">
      <c r="B45" s="1">
        <v>45565</v>
      </c>
      <c r="C45" t="s">
        <v>10</v>
      </c>
      <c r="D45" s="1">
        <v>45047</v>
      </c>
      <c r="E45" s="1">
        <v>45778</v>
      </c>
      <c r="F45">
        <v>4.2000000000000002E-4</v>
      </c>
      <c r="G45">
        <v>300000000</v>
      </c>
      <c r="H45">
        <v>299714973.8892433</v>
      </c>
      <c r="I45">
        <v>0.58254667485966638</v>
      </c>
    </row>
    <row r="46" spans="2:9">
      <c r="B46" s="1">
        <v>45565</v>
      </c>
      <c r="C46" t="s">
        <v>11</v>
      </c>
      <c r="D46" s="1">
        <v>43901</v>
      </c>
      <c r="E46" s="1">
        <v>45646</v>
      </c>
      <c r="F46">
        <v>-2.2000000000000001E-3</v>
      </c>
      <c r="G46">
        <v>6000000000</v>
      </c>
      <c r="H46">
        <v>5990286068.0385771</v>
      </c>
      <c r="I46">
        <v>0.21918799442590434</v>
      </c>
    </row>
    <row r="47" spans="2:9">
      <c r="B47" s="1">
        <v>45565</v>
      </c>
      <c r="C47" t="s">
        <v>12</v>
      </c>
      <c r="D47" s="1">
        <v>44818</v>
      </c>
      <c r="E47" s="1">
        <v>46558</v>
      </c>
      <c r="F47">
        <v>4.0000000000000002E-4</v>
      </c>
      <c r="G47">
        <v>10000000000</v>
      </c>
      <c r="H47">
        <v>9907183933.2611523</v>
      </c>
      <c r="I47">
        <v>2.7154562441384855</v>
      </c>
    </row>
    <row r="48" spans="2:9">
      <c r="B48" s="1">
        <v>45565</v>
      </c>
      <c r="C48" t="s">
        <v>17</v>
      </c>
      <c r="D48" s="1">
        <v>45464</v>
      </c>
      <c r="E48" s="1">
        <v>47197</v>
      </c>
      <c r="F48">
        <v>5.1200000000000004E-3</v>
      </c>
      <c r="G48">
        <v>1400000000</v>
      </c>
      <c r="H48">
        <v>1402503854.1073658</v>
      </c>
      <c r="I48">
        <v>4.4160377526454093</v>
      </c>
    </row>
    <row r="49" spans="2:9">
      <c r="B49" s="1">
        <v>45565</v>
      </c>
      <c r="C49" t="s">
        <v>18</v>
      </c>
      <c r="D49" s="1">
        <v>45483</v>
      </c>
      <c r="E49" s="1">
        <v>47289</v>
      </c>
      <c r="F49">
        <v>6.1199999999999996E-3</v>
      </c>
      <c r="G49">
        <v>500000000</v>
      </c>
      <c r="H49">
        <v>503495017.46804243</v>
      </c>
      <c r="I49">
        <v>4.641704615538587</v>
      </c>
    </row>
    <row r="50" spans="2:9">
      <c r="B50" s="1">
        <v>45565</v>
      </c>
      <c r="C50" t="s">
        <v>14</v>
      </c>
      <c r="D50" s="1">
        <v>42950</v>
      </c>
      <c r="E50" s="1">
        <v>46558</v>
      </c>
      <c r="F50">
        <v>7.2999999999999996E-4</v>
      </c>
      <c r="G50">
        <v>5000000000</v>
      </c>
      <c r="H50">
        <v>4958520746.8128691</v>
      </c>
      <c r="I50">
        <v>2.7142145062761567</v>
      </c>
    </row>
    <row r="51" spans="2:9">
      <c r="B51" s="1">
        <v>45565</v>
      </c>
      <c r="C51" t="s">
        <v>19</v>
      </c>
      <c r="D51" s="1">
        <v>45539</v>
      </c>
      <c r="E51" s="1">
        <v>49115</v>
      </c>
      <c r="F51">
        <v>9.1500000000000001E-3</v>
      </c>
      <c r="G51">
        <v>1000000000</v>
      </c>
      <c r="H51">
        <v>1005723329.5134465</v>
      </c>
      <c r="I51">
        <v>9.2768071081562837</v>
      </c>
    </row>
    <row r="52" spans="2:9">
      <c r="B52" s="1">
        <v>45565</v>
      </c>
      <c r="C52" t="s">
        <v>15</v>
      </c>
      <c r="D52" s="1">
        <v>39294</v>
      </c>
      <c r="E52" s="1">
        <v>46558</v>
      </c>
      <c r="F52">
        <v>2.2929999999999999E-2</v>
      </c>
      <c r="G52">
        <v>10000000000</v>
      </c>
      <c r="H52">
        <v>10580186463.607025</v>
      </c>
      <c r="I52">
        <v>2.6359925619470745</v>
      </c>
    </row>
    <row r="53" spans="2:9">
      <c r="B53" s="1">
        <v>45565</v>
      </c>
      <c r="C53" t="s">
        <v>16</v>
      </c>
      <c r="D53" s="1">
        <v>41445</v>
      </c>
      <c r="E53" s="1">
        <v>48750</v>
      </c>
      <c r="F53">
        <v>1.686E-2</v>
      </c>
      <c r="G53">
        <v>10000000000</v>
      </c>
      <c r="H53">
        <v>10852030048.956272</v>
      </c>
      <c r="I53">
        <v>8.1078592582491833</v>
      </c>
    </row>
    <row r="54" spans="2:9">
      <c r="B54" s="1">
        <v>45596</v>
      </c>
      <c r="C54" t="s">
        <v>10</v>
      </c>
      <c r="D54" s="1">
        <v>45047</v>
      </c>
      <c r="E54" s="1">
        <v>45778</v>
      </c>
      <c r="F54">
        <v>4.2000000000000002E-4</v>
      </c>
      <c r="G54">
        <v>300000000</v>
      </c>
      <c r="H54">
        <v>299690631.34824258</v>
      </c>
      <c r="I54">
        <v>0.49927854338033462</v>
      </c>
    </row>
    <row r="55" spans="2:9">
      <c r="B55" s="1">
        <v>45596</v>
      </c>
      <c r="C55" t="s">
        <v>11</v>
      </c>
      <c r="D55" s="1">
        <v>43901</v>
      </c>
      <c r="E55" s="1">
        <v>45646</v>
      </c>
      <c r="F55">
        <v>-2.2000000000000001E-3</v>
      </c>
      <c r="G55">
        <v>6000000000</v>
      </c>
      <c r="H55">
        <v>5990996539.1253614</v>
      </c>
      <c r="I55">
        <v>0.13591471458686888</v>
      </c>
    </row>
    <row r="56" spans="2:9">
      <c r="B56" s="1">
        <v>45596</v>
      </c>
      <c r="C56" t="s">
        <v>12</v>
      </c>
      <c r="D56" s="1">
        <v>44818</v>
      </c>
      <c r="E56" s="1">
        <v>46558</v>
      </c>
      <c r="F56">
        <v>4.0000000000000002E-4</v>
      </c>
      <c r="G56">
        <v>10000000000</v>
      </c>
      <c r="H56">
        <v>9897287653.6280937</v>
      </c>
      <c r="I56">
        <v>2.631623784253434</v>
      </c>
    </row>
    <row r="57" spans="2:9">
      <c r="B57" s="1">
        <v>45596</v>
      </c>
      <c r="C57" t="s">
        <v>17</v>
      </c>
      <c r="D57" s="1">
        <v>45464</v>
      </c>
      <c r="E57" s="1">
        <v>47197</v>
      </c>
      <c r="F57">
        <v>5.1200000000000004E-3</v>
      </c>
      <c r="G57">
        <v>1400000000</v>
      </c>
      <c r="H57">
        <v>1399612990.7310367</v>
      </c>
      <c r="I57">
        <v>4.3316042475906</v>
      </c>
    </row>
    <row r="58" spans="2:9">
      <c r="B58" s="1">
        <v>45596</v>
      </c>
      <c r="C58" t="s">
        <v>18</v>
      </c>
      <c r="D58" s="1">
        <v>45483</v>
      </c>
      <c r="E58" s="1">
        <v>47289</v>
      </c>
      <c r="F58">
        <v>6.1199999999999996E-3</v>
      </c>
      <c r="G58">
        <v>500000000</v>
      </c>
      <c r="H58">
        <v>502378754.19126439</v>
      </c>
      <c r="I58">
        <v>4.5571483417463146</v>
      </c>
    </row>
    <row r="59" spans="2:9">
      <c r="B59" s="1">
        <v>45596</v>
      </c>
      <c r="C59" t="s">
        <v>14</v>
      </c>
      <c r="D59" s="1">
        <v>42950</v>
      </c>
      <c r="E59" s="1">
        <v>46558</v>
      </c>
      <c r="F59">
        <v>7.2999999999999996E-4</v>
      </c>
      <c r="G59">
        <v>5000000000</v>
      </c>
      <c r="H59">
        <v>4953570961.1293755</v>
      </c>
      <c r="I59">
        <v>2.6303812524980366</v>
      </c>
    </row>
    <row r="60" spans="2:9">
      <c r="B60" s="1">
        <v>45596</v>
      </c>
      <c r="C60" t="s">
        <v>19</v>
      </c>
      <c r="D60" s="1">
        <v>45539</v>
      </c>
      <c r="E60" s="1">
        <v>49115</v>
      </c>
      <c r="F60">
        <v>9.1500000000000001E-3</v>
      </c>
      <c r="G60">
        <v>1000000000</v>
      </c>
      <c r="H60">
        <v>1002220298.1331292</v>
      </c>
      <c r="I60">
        <v>9.1906394413382504</v>
      </c>
    </row>
    <row r="61" spans="2:9">
      <c r="B61" s="1">
        <v>45596</v>
      </c>
      <c r="C61" t="s">
        <v>15</v>
      </c>
      <c r="D61" s="1">
        <v>39294</v>
      </c>
      <c r="E61" s="1">
        <v>46558</v>
      </c>
      <c r="F61">
        <v>2.2929999999999999E-2</v>
      </c>
      <c r="G61">
        <v>10000000000</v>
      </c>
      <c r="H61">
        <v>10570065448.321171</v>
      </c>
      <c r="I61">
        <v>2.5521116445030785</v>
      </c>
    </row>
    <row r="62" spans="2:9">
      <c r="B62" s="1">
        <v>45596</v>
      </c>
      <c r="C62" t="s">
        <v>16</v>
      </c>
      <c r="D62" s="1">
        <v>41445</v>
      </c>
      <c r="E62" s="1">
        <v>48750</v>
      </c>
      <c r="F62">
        <v>1.686E-2</v>
      </c>
      <c r="G62">
        <v>10000000000</v>
      </c>
      <c r="H62">
        <v>10813427868.37919</v>
      </c>
      <c r="I62">
        <v>8.0211642687669436</v>
      </c>
    </row>
    <row r="63" spans="2:9">
      <c r="B63" s="1">
        <v>45625</v>
      </c>
      <c r="C63" t="s">
        <v>10</v>
      </c>
      <c r="D63" s="1">
        <v>45047</v>
      </c>
      <c r="E63" s="1">
        <v>45778</v>
      </c>
      <c r="F63">
        <v>4.2000000000000002E-4</v>
      </c>
      <c r="G63">
        <v>300000000</v>
      </c>
      <c r="H63">
        <v>299453696.62513548</v>
      </c>
      <c r="I63">
        <v>0.41289382122716128</v>
      </c>
    </row>
    <row r="64" spans="2:9">
      <c r="B64" s="1">
        <v>45625</v>
      </c>
      <c r="C64" t="s">
        <v>11</v>
      </c>
      <c r="D64" s="1">
        <v>43901</v>
      </c>
      <c r="E64" s="1">
        <v>45646</v>
      </c>
      <c r="F64">
        <v>-2.2000000000000001E-3</v>
      </c>
      <c r="G64">
        <v>6000000000</v>
      </c>
      <c r="H64">
        <v>5991717130.5090733</v>
      </c>
      <c r="I64">
        <v>4.9879790483818132E-2</v>
      </c>
    </row>
    <row r="65" spans="2:9">
      <c r="B65" s="1">
        <v>45625</v>
      </c>
      <c r="C65" t="s">
        <v>12</v>
      </c>
      <c r="D65" s="1">
        <v>44818</v>
      </c>
      <c r="E65" s="1">
        <v>46558</v>
      </c>
      <c r="F65">
        <v>4.0000000000000002E-4</v>
      </c>
      <c r="G65">
        <v>10000000000</v>
      </c>
      <c r="H65">
        <v>9858447106.1138515</v>
      </c>
      <c r="I65">
        <v>2.5435633885074176</v>
      </c>
    </row>
    <row r="66" spans="2:9">
      <c r="B66" s="1">
        <v>45625</v>
      </c>
      <c r="C66" t="s">
        <v>17</v>
      </c>
      <c r="D66" s="1">
        <v>45464</v>
      </c>
      <c r="E66" s="1">
        <v>47197</v>
      </c>
      <c r="F66">
        <v>5.1200000000000004E-3</v>
      </c>
      <c r="G66">
        <v>1400000000</v>
      </c>
      <c r="H66">
        <v>1390983126.1038077</v>
      </c>
      <c r="I66">
        <v>4.242228026317818</v>
      </c>
    </row>
    <row r="67" spans="2:9">
      <c r="B67" s="1">
        <v>45625</v>
      </c>
      <c r="C67" t="s">
        <v>18</v>
      </c>
      <c r="D67" s="1">
        <v>45483</v>
      </c>
      <c r="E67" s="1">
        <v>47289</v>
      </c>
      <c r="F67">
        <v>6.1199999999999996E-3</v>
      </c>
      <c r="G67">
        <v>500000000</v>
      </c>
      <c r="H67">
        <v>499144235.99481034</v>
      </c>
      <c r="I67">
        <v>4.4675197233294313</v>
      </c>
    </row>
    <row r="68" spans="2:9">
      <c r="B68" s="1">
        <v>45625</v>
      </c>
      <c r="C68" t="s">
        <v>14</v>
      </c>
      <c r="D68" s="1">
        <v>42950</v>
      </c>
      <c r="E68" s="1">
        <v>46558</v>
      </c>
      <c r="F68">
        <v>7.2999999999999996E-4</v>
      </c>
      <c r="G68">
        <v>5000000000</v>
      </c>
      <c r="H68">
        <v>4934141312.2538729</v>
      </c>
      <c r="I68">
        <v>2.5423180295443935</v>
      </c>
    </row>
    <row r="69" spans="2:9">
      <c r="B69" s="1">
        <v>45625</v>
      </c>
      <c r="C69" t="s">
        <v>19</v>
      </c>
      <c r="D69" s="1">
        <v>45539</v>
      </c>
      <c r="E69" s="1">
        <v>49115</v>
      </c>
      <c r="F69">
        <v>9.1500000000000001E-3</v>
      </c>
      <c r="G69">
        <v>1000000000</v>
      </c>
      <c r="H69">
        <v>992983740.58302021</v>
      </c>
      <c r="I69">
        <v>9.0972847657153828</v>
      </c>
    </row>
    <row r="70" spans="2:9">
      <c r="B70" s="1">
        <v>45625</v>
      </c>
      <c r="C70" t="s">
        <v>15</v>
      </c>
      <c r="D70" s="1">
        <v>39294</v>
      </c>
      <c r="E70" s="1">
        <v>46558</v>
      </c>
      <c r="F70">
        <v>2.2929999999999999E-2</v>
      </c>
      <c r="G70">
        <v>10000000000</v>
      </c>
      <c r="H70">
        <v>10529944771.006182</v>
      </c>
      <c r="I70">
        <v>2.4638814383219669</v>
      </c>
    </row>
    <row r="71" spans="2:9">
      <c r="B71" s="1">
        <v>45625</v>
      </c>
      <c r="C71" t="s">
        <v>16</v>
      </c>
      <c r="D71" s="1">
        <v>41445</v>
      </c>
      <c r="E71" s="1">
        <v>48750</v>
      </c>
      <c r="F71">
        <v>1.686E-2</v>
      </c>
      <c r="G71">
        <v>10000000000</v>
      </c>
      <c r="H71">
        <v>10719689311.940533</v>
      </c>
      <c r="I71">
        <v>7.9271206565109473</v>
      </c>
    </row>
    <row r="72" spans="2:9">
      <c r="B72" s="1">
        <v>45656</v>
      </c>
      <c r="C72" t="s">
        <v>10</v>
      </c>
      <c r="D72" s="1">
        <v>45047</v>
      </c>
      <c r="E72" s="1">
        <v>45778</v>
      </c>
      <c r="F72">
        <v>4.2000000000000002E-4</v>
      </c>
      <c r="G72">
        <v>300000000</v>
      </c>
      <c r="H72">
        <v>299633126.05861467</v>
      </c>
      <c r="I72">
        <v>0.31876389619855294</v>
      </c>
    </row>
    <row r="73" spans="2:9">
      <c r="B73" s="1">
        <v>45656</v>
      </c>
      <c r="C73" t="s">
        <v>12</v>
      </c>
      <c r="D73" s="1">
        <v>44818</v>
      </c>
      <c r="E73" s="1">
        <v>46558</v>
      </c>
      <c r="F73">
        <v>4.0000000000000002E-4</v>
      </c>
      <c r="G73">
        <v>10000000000</v>
      </c>
      <c r="H73">
        <v>9862472691.2340794</v>
      </c>
      <c r="I73">
        <v>2.4499453113304552</v>
      </c>
    </row>
    <row r="74" spans="2:9">
      <c r="B74" s="1">
        <v>45656</v>
      </c>
      <c r="C74" t="s">
        <v>17</v>
      </c>
      <c r="D74" s="1">
        <v>45464</v>
      </c>
      <c r="E74" s="1">
        <v>47197</v>
      </c>
      <c r="F74">
        <v>5.1200000000000004E-3</v>
      </c>
      <c r="G74">
        <v>1400000000</v>
      </c>
      <c r="H74">
        <v>1391223081.9764836</v>
      </c>
      <c r="I74">
        <v>4.147871845351939</v>
      </c>
    </row>
    <row r="75" spans="2:9">
      <c r="B75" s="1">
        <v>45656</v>
      </c>
      <c r="C75" t="s">
        <v>18</v>
      </c>
      <c r="D75" s="1">
        <v>45483</v>
      </c>
      <c r="E75" s="1">
        <v>47289</v>
      </c>
      <c r="F75">
        <v>6.1199999999999996E-3</v>
      </c>
      <c r="G75">
        <v>500000000</v>
      </c>
      <c r="H75">
        <v>497863037.39303792</v>
      </c>
      <c r="I75">
        <v>4.3852181217079336</v>
      </c>
    </row>
    <row r="76" spans="2:9">
      <c r="B76" s="1">
        <v>45656</v>
      </c>
      <c r="C76" t="s">
        <v>14</v>
      </c>
      <c r="D76" s="1">
        <v>42950</v>
      </c>
      <c r="E76" s="1">
        <v>46558</v>
      </c>
      <c r="F76">
        <v>7.2999999999999996E-4</v>
      </c>
      <c r="G76">
        <v>5000000000</v>
      </c>
      <c r="H76">
        <v>4935332527.7802372</v>
      </c>
      <c r="I76">
        <v>2.4491161314607988</v>
      </c>
    </row>
    <row r="77" spans="2:9">
      <c r="B77" s="1">
        <v>45656</v>
      </c>
      <c r="C77" t="s">
        <v>19</v>
      </c>
      <c r="D77" s="1">
        <v>45539</v>
      </c>
      <c r="E77" s="1">
        <v>49115</v>
      </c>
      <c r="F77">
        <v>9.1500000000000001E-3</v>
      </c>
      <c r="G77">
        <v>1000000000</v>
      </c>
      <c r="H77">
        <v>987484335.32703614</v>
      </c>
      <c r="I77">
        <v>9.0251259351914914</v>
      </c>
    </row>
    <row r="78" spans="2:9">
      <c r="B78" s="1">
        <v>45656</v>
      </c>
      <c r="C78" t="s">
        <v>15</v>
      </c>
      <c r="D78" s="1">
        <v>39294</v>
      </c>
      <c r="E78" s="1">
        <v>46558</v>
      </c>
      <c r="F78">
        <v>2.2929999999999999E-2</v>
      </c>
      <c r="G78">
        <v>10000000000</v>
      </c>
      <c r="H78">
        <v>10421787746.608974</v>
      </c>
      <c r="I78">
        <v>2.3963284439748009</v>
      </c>
    </row>
    <row r="79" spans="2:9">
      <c r="B79" s="1">
        <v>45656</v>
      </c>
      <c r="C79" t="s">
        <v>16</v>
      </c>
      <c r="D79" s="1">
        <v>41445</v>
      </c>
      <c r="E79" s="1">
        <v>48750</v>
      </c>
      <c r="F79">
        <v>1.686E-2</v>
      </c>
      <c r="G79">
        <v>10000000000</v>
      </c>
      <c r="H79">
        <v>10601118549.502647</v>
      </c>
      <c r="I79">
        <v>7.8921551770860932</v>
      </c>
    </row>
    <row r="80" spans="2:9">
      <c r="B80" s="1">
        <v>45688</v>
      </c>
      <c r="C80" t="s">
        <v>10</v>
      </c>
      <c r="D80" s="1">
        <v>45047</v>
      </c>
      <c r="E80" s="1">
        <v>45778</v>
      </c>
      <c r="F80">
        <v>4.2000000000000002E-4</v>
      </c>
      <c r="G80">
        <v>300000000</v>
      </c>
      <c r="H80">
        <v>299639142.26025122</v>
      </c>
      <c r="I80">
        <v>0.24376191883705309</v>
      </c>
    </row>
    <row r="81" spans="2:9">
      <c r="B81" s="1">
        <v>45688</v>
      </c>
      <c r="C81" t="s">
        <v>12</v>
      </c>
      <c r="D81" s="1">
        <v>44818</v>
      </c>
      <c r="E81" s="1">
        <v>46558</v>
      </c>
      <c r="F81">
        <v>4.0000000000000002E-4</v>
      </c>
      <c r="G81">
        <v>10000000000</v>
      </c>
      <c r="H81">
        <v>9834502733.9218941</v>
      </c>
      <c r="I81">
        <v>2.3735161508064624</v>
      </c>
    </row>
    <row r="82" spans="2:9">
      <c r="B82" s="1">
        <v>45688</v>
      </c>
      <c r="C82" t="s">
        <v>17</v>
      </c>
      <c r="D82" s="1">
        <v>45464</v>
      </c>
      <c r="E82" s="1">
        <v>47197</v>
      </c>
      <c r="F82">
        <v>5.1200000000000004E-3</v>
      </c>
      <c r="G82">
        <v>1400000000</v>
      </c>
      <c r="H82">
        <v>1382979328.2997274</v>
      </c>
      <c r="I82">
        <v>4.0696963428717119</v>
      </c>
    </row>
    <row r="83" spans="2:9">
      <c r="B83" s="1">
        <v>45688</v>
      </c>
      <c r="C83" t="s">
        <v>18</v>
      </c>
      <c r="D83" s="1">
        <v>45483</v>
      </c>
      <c r="E83" s="1">
        <v>47289</v>
      </c>
      <c r="F83">
        <v>6.1199999999999996E-3</v>
      </c>
      <c r="G83">
        <v>500000000</v>
      </c>
      <c r="H83">
        <v>494712084.10542727</v>
      </c>
      <c r="I83">
        <v>4.3068017081844934</v>
      </c>
    </row>
    <row r="84" spans="2:9">
      <c r="B84" s="1">
        <v>45688</v>
      </c>
      <c r="C84" t="s">
        <v>14</v>
      </c>
      <c r="D84" s="1">
        <v>42950</v>
      </c>
      <c r="E84" s="1">
        <v>46558</v>
      </c>
      <c r="F84">
        <v>7.2999999999999996E-4</v>
      </c>
      <c r="G84">
        <v>5000000000</v>
      </c>
      <c r="H84">
        <v>4921341958.1529522</v>
      </c>
      <c r="I84">
        <v>2.3726858692298189</v>
      </c>
    </row>
    <row r="85" spans="2:9">
      <c r="B85" s="1">
        <v>45688</v>
      </c>
      <c r="C85" t="s">
        <v>19</v>
      </c>
      <c r="D85" s="1">
        <v>45539</v>
      </c>
      <c r="E85" s="1">
        <v>49115</v>
      </c>
      <c r="F85">
        <v>9.1500000000000001E-3</v>
      </c>
      <c r="G85">
        <v>1000000000</v>
      </c>
      <c r="H85">
        <v>976231302.87719631</v>
      </c>
      <c r="I85">
        <v>8.9413742908329752</v>
      </c>
    </row>
    <row r="86" spans="2:9">
      <c r="B86" s="1">
        <v>45688</v>
      </c>
      <c r="C86" t="s">
        <v>15</v>
      </c>
      <c r="D86" s="1">
        <v>39294</v>
      </c>
      <c r="E86" s="1">
        <v>46558</v>
      </c>
      <c r="F86">
        <v>2.2929999999999999E-2</v>
      </c>
      <c r="G86">
        <v>10000000000</v>
      </c>
      <c r="H86">
        <v>10393054367.593847</v>
      </c>
      <c r="I86">
        <v>2.3198308564106997</v>
      </c>
    </row>
    <row r="87" spans="2:9">
      <c r="B87" s="1">
        <v>45688</v>
      </c>
      <c r="C87" t="s">
        <v>16</v>
      </c>
      <c r="D87" s="1">
        <v>41445</v>
      </c>
      <c r="E87" s="1">
        <v>48750</v>
      </c>
      <c r="F87">
        <v>1.686E-2</v>
      </c>
      <c r="G87">
        <v>10000000000</v>
      </c>
      <c r="H87">
        <v>10494846874.58416</v>
      </c>
      <c r="I87">
        <v>7.8085107314156081</v>
      </c>
    </row>
    <row r="88" spans="2:9">
      <c r="B88" s="1">
        <v>45716</v>
      </c>
      <c r="C88" t="s">
        <v>10</v>
      </c>
      <c r="D88" s="1">
        <v>45047</v>
      </c>
      <c r="E88" s="1">
        <v>45778</v>
      </c>
      <c r="F88">
        <v>4.2000000000000002E-4</v>
      </c>
      <c r="G88">
        <v>300000000</v>
      </c>
      <c r="H88">
        <v>299748052.54778481</v>
      </c>
      <c r="I88">
        <v>0.16062843086899317</v>
      </c>
    </row>
    <row r="89" spans="2:9">
      <c r="B89" s="1">
        <v>45716</v>
      </c>
      <c r="C89" t="s">
        <v>12</v>
      </c>
      <c r="D89" s="1">
        <v>44818</v>
      </c>
      <c r="E89" s="1">
        <v>46558</v>
      </c>
      <c r="F89">
        <v>4.0000000000000002E-4</v>
      </c>
      <c r="G89">
        <v>10000000000</v>
      </c>
      <c r="H89">
        <v>9821141367.5343971</v>
      </c>
      <c r="I89">
        <v>2.2895233629845166</v>
      </c>
    </row>
    <row r="90" spans="2:9">
      <c r="B90" s="1">
        <v>45716</v>
      </c>
      <c r="C90" t="s">
        <v>17</v>
      </c>
      <c r="D90" s="1">
        <v>45464</v>
      </c>
      <c r="E90" s="1">
        <v>47197</v>
      </c>
      <c r="F90">
        <v>5.1200000000000004E-3</v>
      </c>
      <c r="G90">
        <v>1400000000</v>
      </c>
      <c r="H90">
        <v>1378724297.5227468</v>
      </c>
      <c r="I90">
        <v>3.9847274869681972</v>
      </c>
    </row>
    <row r="91" spans="2:9">
      <c r="B91" s="1">
        <v>45716</v>
      </c>
      <c r="C91" t="s">
        <v>18</v>
      </c>
      <c r="D91" s="1">
        <v>45483</v>
      </c>
      <c r="E91" s="1">
        <v>47289</v>
      </c>
      <c r="F91">
        <v>6.1199999999999996E-3</v>
      </c>
      <c r="G91">
        <v>500000000</v>
      </c>
      <c r="H91">
        <v>493084827.38047576</v>
      </c>
      <c r="I91">
        <v>4.2217044426186288</v>
      </c>
    </row>
    <row r="92" spans="2:9">
      <c r="B92" s="1">
        <v>45716</v>
      </c>
      <c r="C92" t="s">
        <v>14</v>
      </c>
      <c r="D92" s="1">
        <v>42950</v>
      </c>
      <c r="E92" s="1">
        <v>46558</v>
      </c>
      <c r="F92">
        <v>7.2999999999999996E-4</v>
      </c>
      <c r="G92">
        <v>5000000000</v>
      </c>
      <c r="H92">
        <v>4914659942.5299606</v>
      </c>
      <c r="I92">
        <v>2.2886924401172561</v>
      </c>
    </row>
    <row r="93" spans="2:9">
      <c r="B93" s="1">
        <v>45716</v>
      </c>
      <c r="C93" t="s">
        <v>19</v>
      </c>
      <c r="D93" s="1">
        <v>45539</v>
      </c>
      <c r="E93" s="1">
        <v>49115</v>
      </c>
      <c r="F93">
        <v>9.1500000000000001E-3</v>
      </c>
      <c r="G93">
        <v>1000000000</v>
      </c>
      <c r="H93">
        <v>966673048.0877502</v>
      </c>
      <c r="I93">
        <v>8.8504507714681626</v>
      </c>
    </row>
    <row r="94" spans="2:9">
      <c r="B94" s="1">
        <v>45716</v>
      </c>
      <c r="C94" t="s">
        <v>15</v>
      </c>
      <c r="D94" s="1">
        <v>39294</v>
      </c>
      <c r="E94" s="1">
        <v>46558</v>
      </c>
      <c r="F94">
        <v>2.2929999999999999E-2</v>
      </c>
      <c r="G94">
        <v>10000000000</v>
      </c>
      <c r="H94">
        <v>10379511064.049812</v>
      </c>
      <c r="I94">
        <v>2.235800546560109</v>
      </c>
    </row>
    <row r="95" spans="2:9">
      <c r="B95" s="1">
        <v>45716</v>
      </c>
      <c r="C95" t="s">
        <v>16</v>
      </c>
      <c r="D95" s="1">
        <v>41445</v>
      </c>
      <c r="E95" s="1">
        <v>48750</v>
      </c>
      <c r="F95">
        <v>1.686E-2</v>
      </c>
      <c r="G95">
        <v>10000000000</v>
      </c>
      <c r="H95">
        <v>10407836749.367506</v>
      </c>
      <c r="I95">
        <v>7.7179253239213015</v>
      </c>
    </row>
    <row r="96" spans="2:9">
      <c r="B96" s="1">
        <v>45747</v>
      </c>
      <c r="C96" t="s">
        <v>10</v>
      </c>
      <c r="D96" s="1">
        <v>45047</v>
      </c>
      <c r="E96" s="1">
        <v>45778</v>
      </c>
      <c r="F96">
        <v>4.2000000000000002E-4</v>
      </c>
      <c r="G96">
        <v>300000000</v>
      </c>
      <c r="H96">
        <v>299897942.1189335</v>
      </c>
      <c r="I96">
        <v>8.3067518270161025E-2</v>
      </c>
    </row>
    <row r="97" spans="2:9">
      <c r="B97" s="1">
        <v>45747</v>
      </c>
      <c r="C97" t="s">
        <v>12</v>
      </c>
      <c r="D97" s="1">
        <v>44818</v>
      </c>
      <c r="E97" s="1">
        <v>46558</v>
      </c>
      <c r="F97">
        <v>4.0000000000000002E-4</v>
      </c>
      <c r="G97">
        <v>10000000000</v>
      </c>
      <c r="H97">
        <v>9819776445.3299713</v>
      </c>
      <c r="I97">
        <v>2.2116438308520805</v>
      </c>
    </row>
    <row r="98" spans="2:9">
      <c r="B98" s="1">
        <v>45747</v>
      </c>
      <c r="C98" t="s">
        <v>17</v>
      </c>
      <c r="D98" s="1">
        <v>45464</v>
      </c>
      <c r="E98" s="1">
        <v>47197</v>
      </c>
      <c r="F98">
        <v>5.1200000000000004E-3</v>
      </c>
      <c r="G98">
        <v>1400000000</v>
      </c>
      <c r="H98">
        <v>1372670951.9414239</v>
      </c>
      <c r="I98">
        <v>3.9162790392326352</v>
      </c>
    </row>
    <row r="99" spans="2:9">
      <c r="B99" s="1">
        <v>45747</v>
      </c>
      <c r="C99" t="s">
        <v>18</v>
      </c>
      <c r="D99" s="1">
        <v>45483</v>
      </c>
      <c r="E99" s="1">
        <v>47289</v>
      </c>
      <c r="F99">
        <v>6.1199999999999996E-3</v>
      </c>
      <c r="G99">
        <v>500000000</v>
      </c>
      <c r="H99">
        <v>491931377.64872485</v>
      </c>
      <c r="I99">
        <v>4.142613873460224</v>
      </c>
    </row>
    <row r="100" spans="2:9">
      <c r="B100" s="1">
        <v>45747</v>
      </c>
      <c r="C100" t="s">
        <v>14</v>
      </c>
      <c r="D100" s="1">
        <v>42950</v>
      </c>
      <c r="E100" s="1">
        <v>46558</v>
      </c>
      <c r="F100">
        <v>7.2999999999999996E-4</v>
      </c>
      <c r="G100">
        <v>5000000000</v>
      </c>
      <c r="H100">
        <v>4913978329.8252449</v>
      </c>
      <c r="I100">
        <v>2.2108125892770083</v>
      </c>
    </row>
    <row r="101" spans="2:9">
      <c r="B101" s="1">
        <v>45747</v>
      </c>
      <c r="C101" t="s">
        <v>19</v>
      </c>
      <c r="D101" s="1">
        <v>45539</v>
      </c>
      <c r="E101" s="1">
        <v>49115</v>
      </c>
      <c r="F101">
        <v>9.1500000000000001E-3</v>
      </c>
      <c r="G101">
        <v>1000000000</v>
      </c>
      <c r="H101">
        <v>958834176.0824796</v>
      </c>
      <c r="I101">
        <v>8.7662362132450227</v>
      </c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ED85-AC0F-46CF-B15C-38391DA07A9E}">
  <sheetPr>
    <tabColor theme="2"/>
  </sheetPr>
  <dimension ref="B2:G21"/>
  <sheetViews>
    <sheetView showGridLines="0" workbookViewId="0"/>
  </sheetViews>
  <sheetFormatPr defaultColWidth="8.83203125" defaultRowHeight="18"/>
  <cols>
    <col min="1" max="1" width="3" customWidth="1"/>
    <col min="2" max="2" width="28.4140625" bestFit="1" customWidth="1"/>
    <col min="3" max="4" width="14.58203125" bestFit="1" customWidth="1"/>
    <col min="5" max="5" width="16.1640625" bestFit="1" customWidth="1"/>
    <col min="6" max="6" width="7.4140625" bestFit="1" customWidth="1"/>
    <col min="7" max="7" width="10.6640625" bestFit="1" customWidth="1"/>
    <col min="8" max="9" width="11.6640625" bestFit="1" customWidth="1"/>
    <col min="10" max="10" width="3" customWidth="1"/>
    <col min="11" max="32" width="11.6640625" bestFit="1" customWidth="1"/>
    <col min="33" max="34" width="4.6640625" bestFit="1" customWidth="1"/>
  </cols>
  <sheetData>
    <row r="2" spans="2:7">
      <c r="B2" t="s">
        <v>20</v>
      </c>
    </row>
    <row r="4" spans="2:7">
      <c r="C4" t="s">
        <v>30</v>
      </c>
      <c r="D4" t="s">
        <v>31</v>
      </c>
      <c r="E4" t="s">
        <v>32</v>
      </c>
      <c r="F4" t="s">
        <v>54</v>
      </c>
      <c r="G4" t="s">
        <v>53</v>
      </c>
    </row>
    <row r="5" spans="2:7">
      <c r="B5" s="3" t="s">
        <v>21</v>
      </c>
    </row>
    <row r="6" spans="2:7">
      <c r="B6" s="4" t="s">
        <v>10</v>
      </c>
      <c r="C6" s="5">
        <v>300000000</v>
      </c>
      <c r="D6" s="5">
        <v>299633126.05861467</v>
      </c>
      <c r="E6" s="2">
        <v>-366873.94138532877</v>
      </c>
      <c r="F6" s="2">
        <v>4.2000000000000002E-4</v>
      </c>
      <c r="G6" s="2">
        <v>0.31876389619855294</v>
      </c>
    </row>
    <row r="7" spans="2:7">
      <c r="B7" s="3" t="s">
        <v>25</v>
      </c>
      <c r="C7" s="5">
        <v>300000000</v>
      </c>
      <c r="D7" s="5">
        <v>299633126.05861467</v>
      </c>
      <c r="E7" s="2">
        <v>-366873.94138532877</v>
      </c>
      <c r="F7" s="2">
        <v>4.2000000000000002E-4</v>
      </c>
      <c r="G7" s="2">
        <v>0.31876389619855294</v>
      </c>
    </row>
    <row r="8" spans="2:7">
      <c r="B8" s="3" t="s">
        <v>22</v>
      </c>
    </row>
    <row r="9" spans="2:7">
      <c r="B9" s="4" t="s">
        <v>12</v>
      </c>
      <c r="C9" s="5">
        <v>10000000000</v>
      </c>
      <c r="D9" s="5">
        <v>9862472691.2340794</v>
      </c>
      <c r="E9" s="2">
        <v>-137527308.76592064</v>
      </c>
      <c r="F9" s="2">
        <v>4.0000000000000002E-4</v>
      </c>
      <c r="G9" s="2">
        <v>2.4499453113304552</v>
      </c>
    </row>
    <row r="10" spans="2:7">
      <c r="B10" s="4" t="s">
        <v>17</v>
      </c>
      <c r="C10" s="5">
        <v>1400000000</v>
      </c>
      <c r="D10" s="5">
        <v>1391223081.9764836</v>
      </c>
      <c r="E10" s="2">
        <v>-8776918.0235164165</v>
      </c>
      <c r="F10" s="2">
        <v>5.1200000000000004E-3</v>
      </c>
      <c r="G10" s="2">
        <v>4.147871845351939</v>
      </c>
    </row>
    <row r="11" spans="2:7">
      <c r="B11" s="4" t="s">
        <v>18</v>
      </c>
      <c r="C11" s="5">
        <v>500000000</v>
      </c>
      <c r="D11" s="5">
        <v>497863037.39303792</v>
      </c>
      <c r="E11" s="2">
        <v>-2136962.6069620848</v>
      </c>
      <c r="F11" s="2">
        <v>6.1199999999999996E-3</v>
      </c>
      <c r="G11" s="2">
        <v>4.3852181217079336</v>
      </c>
    </row>
    <row r="12" spans="2:7">
      <c r="B12" s="3" t="s">
        <v>26</v>
      </c>
      <c r="C12" s="5">
        <v>11900000000</v>
      </c>
      <c r="D12" s="5">
        <v>11751558810.603601</v>
      </c>
      <c r="E12" s="2">
        <v>-148441189.39639854</v>
      </c>
      <c r="F12" s="2">
        <v>1.1956302521008402E-3</v>
      </c>
      <c r="G12" s="2">
        <v>2.7310153577858181</v>
      </c>
    </row>
    <row r="13" spans="2:7">
      <c r="B13" s="3" t="s">
        <v>23</v>
      </c>
    </row>
    <row r="14" spans="2:7">
      <c r="B14" s="4" t="s">
        <v>14</v>
      </c>
      <c r="C14" s="5">
        <v>5000000000</v>
      </c>
      <c r="D14" s="5">
        <v>4935332527.7802372</v>
      </c>
      <c r="E14" s="2">
        <v>-64667472.219762802</v>
      </c>
      <c r="F14" s="2">
        <v>7.2999999999999996E-4</v>
      </c>
      <c r="G14" s="2">
        <v>2.4491161314607988</v>
      </c>
    </row>
    <row r="15" spans="2:7">
      <c r="B15" s="4" t="s">
        <v>19</v>
      </c>
      <c r="C15" s="5">
        <v>1000000000</v>
      </c>
      <c r="D15" s="5">
        <v>987484335.32703614</v>
      </c>
      <c r="E15" s="2">
        <v>-12515664.672963858</v>
      </c>
      <c r="F15" s="2">
        <v>9.1500000000000001E-3</v>
      </c>
      <c r="G15" s="2">
        <v>9.0251259351914914</v>
      </c>
    </row>
    <row r="16" spans="2:7">
      <c r="B16" s="3" t="s">
        <v>27</v>
      </c>
      <c r="C16" s="5">
        <v>6000000000</v>
      </c>
      <c r="D16" s="5">
        <v>5922816863.1072731</v>
      </c>
      <c r="E16" s="2">
        <v>-77183136.892726898</v>
      </c>
      <c r="F16" s="2">
        <v>2.1333333333333334E-3</v>
      </c>
      <c r="G16" s="2">
        <v>3.5451177654159141</v>
      </c>
    </row>
    <row r="17" spans="2:7">
      <c r="B17" s="3" t="s">
        <v>58</v>
      </c>
    </row>
    <row r="18" spans="2:7">
      <c r="B18" s="4" t="s">
        <v>15</v>
      </c>
      <c r="C18" s="5">
        <v>10000000000</v>
      </c>
      <c r="D18" s="5">
        <v>10421787746.608974</v>
      </c>
      <c r="E18" s="2">
        <v>421787746.60897446</v>
      </c>
      <c r="F18" s="2">
        <v>2.2929999999999999E-2</v>
      </c>
      <c r="G18" s="2">
        <v>2.3963284439748009</v>
      </c>
    </row>
    <row r="19" spans="2:7">
      <c r="B19" s="4" t="s">
        <v>16</v>
      </c>
      <c r="C19" s="5">
        <v>10000000000</v>
      </c>
      <c r="D19" s="5">
        <v>10601118549.502647</v>
      </c>
      <c r="E19" s="2">
        <v>601118549.5026474</v>
      </c>
      <c r="F19" s="2">
        <v>1.686E-2</v>
      </c>
      <c r="G19" s="2">
        <v>7.8921551770860932</v>
      </c>
    </row>
    <row r="20" spans="2:7">
      <c r="B20" s="3" t="s">
        <v>59</v>
      </c>
      <c r="C20" s="5">
        <v>20000000000</v>
      </c>
      <c r="D20" s="5">
        <v>21022906296.111622</v>
      </c>
      <c r="E20" s="2">
        <v>1022906296.1116219</v>
      </c>
      <c r="F20" s="2">
        <v>1.9894999999999999E-2</v>
      </c>
      <c r="G20" s="2">
        <v>5.1442418105304473</v>
      </c>
    </row>
    <row r="21" spans="2:7">
      <c r="B21" s="3" t="s">
        <v>24</v>
      </c>
      <c r="C21" s="5">
        <v>38200000000</v>
      </c>
      <c r="D21" s="5">
        <v>38996915095.881111</v>
      </c>
      <c r="E21" s="2">
        <v>796915095.88111115</v>
      </c>
      <c r="F21" s="2">
        <v>1.1127068062827225E-2</v>
      </c>
      <c r="G21" s="2">
        <v>4.1034098096757914</v>
      </c>
    </row>
  </sheetData>
  <phoneticPr fontId="2"/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�����gR^����gR^��V�S�ng���gR^��V�S�ng
</file>

<file path=customXml/item2.xml>��
</file>

<file path=customXml/item3.xml>��
</file>

<file path=customXml/item4.xml>���V�Q�P8Rf0}_Bf�OU��O���gR^�
</file>

<file path=customXml/item5.xml>���e�Nt^�pe$P	�g�pe$P	�t^g�e�Nt^�pe$P	�g�pe$P	�t^g�e�N
</file>

<file path=customXml/item6.xml>��
</file>

<file path=customXml/item7.xml>��
</file>

<file path=customXml/item8.xml>��
</file>

<file path=customXml/item9.xml>��
</file>

<file path=customXml/item10.xml>�����gR^����gR^����gR^��V�S�ng���gR^��V�S�ng���gR^����gR^����gR^��V�S�ng���gR^��V�S�ng�V�Q�P8Rf0}_Bf�OU��O�V�Q�P8Rf0}_Bf�OU��O)R�s)R�s_)R�s$P?|�O?|�O_?|�O$PBf�OBf�O_Bf�O$PU��Od�vU��Od�v_U��Od�v$P�Ock�Ock_�Ock$P�W�n�e���gzvL��eQ���e)R�s?|�OBf�O�Ock�0�0�0�0�0�0�0)R�s)R�s_)R�s$P?|�O?|�O_?|�O$PBf�OBf�O_Bf�O$PU��Od�vU��Od�v_U��Od�v$P�Ock�Ock_�Ock$P�W�n�e���gzvL��eQ���e)R�s?|�OBf�O�Ock�0�0�0�0�0�0�0�0�0�0�0�0�0�0�0�0�0�0�0�0�0 / �e�N�0�0�0�0 / �e�N_�0�0�0�0 / �e�N$P�e�Nt^�pe$P	�g�pe$P	�t^g�0�0�0�0 / �e�N�e�N�0�0�0�0 / �e�N�e�N�0�0�0�0 / �e�N�e�N�0�0�0�0 / �e�N�0�0�0�0 / �e�N_�0�0�0�0 / �e�N$P�e�Nt^�pe$P	�g�pe$P	�t^g�0�0�0�0 / �e�N�e�N�0�0�0�0 / �e�N�e�N�0�0�0�0 / �e�N�e�N�0�0�0�0�0�0�0�0�0�0�0�0�0�0�0�0�0�0�0�0���gR^����gR^����gR^����gR^����gR^����gR^��V�Q�P8Rf0}_Bf�OU��O�0�0�0�0�0�0�0�0�0�0���gR^����gR^����gR^��V�Q�P8Rf0}_Bf�OU��O�V�Q�P8Rf0}_Bf�OU��O�W�n�e�V�Q�P8Rf0}_Bf�OU��O���g�V�Q�P8Rf0}_Bf�OU��OzvL��e�V�Q�P8Rf0}_Bf�OU��OQ���e�V�Q�P8Rf0}_Bf�OU��O)R�s�V�Q�P8Rf0}_Bf�OU��O?|�O�V�Q�P8Rf0}_Bf�OU��OBf�O�V�Q�P8Rf0}_Bf�OU��O�Ock�0�0�0�0�0�0�0�V�Q�P8Rf0}_Bf�OU��O)R�s�V�Q�P8Rf0}_Bf�OU��O?|�O�V�Q�P8Rf0}_Bf�OU��OBf�O�V�Q�P8Rf0}_Bf�OU��OU��Od�v�V�Q�P8Rf0}_Bf�OU��O�Ock�0�0�0�0�0�0�0�0�0�0�e�N�0�0�0�0�0t^�pe$P	��0�0�0�0�0g�pe$P	��0�0�0�0�0t^g�0�0�0�0�0�0�0�0�0 / �e�N�0�0�0�0�0\�0�0�0�0 / �e�N�fٞ�vj0�0�0�0�0�0�0�0�0�0�0�0�0�0�0�0�0�0�0�0���gR^����gR^����g���gR^�R^����gR^��V�S���gR^��ng���gR^����gR^����gR^����gR^�R^����gR^����gR^����g�V�Q�P8Rf0}_Bf�OU��O�W�n�e�0�0�0�0�0�e�N�V�Q�P8Rf0}_Bf�OU��O�W�n�e�0�0�0�0�0�e�N�V�Q�P8Rf0}_Bf�OU��O�W�n�e�0�0�0�0�0�e�N�V�Q�P8Rf0}_Bf�OU��O�W�n�e�0�0�0�0�0�e�N�V�Q�P8Rf0}_Bf�OU��O���g���gR^����g�V�Q�P8Rf0}_Bf�OU��O���g���gR^����g�V�Q�P8Rf0}_Bf�OU��O���g���gR^����g�V�Q�P8Rf0}_Bf�OU��O���g���gR^����g�V�Q�P8Rf0}_Bf�OU��O�0�0�0�0�0�0�0�0�0�0�0�0�0�0�0�0�0�0�0�0���gR^����gR^����gR^����gR^����gR^����gR^��V�Q�P8Rf0}_Bf�OU��O�0�0�0�0�0�0�0�0�0�0���gR^����gR^����gR^��V�Q�P8Rf0}_Bf�OU��O�V�Q�P8Rf0}_Bf�OU��O�W�n�e�V�Q�P8Rf0}_Bf�OU��O���g�V�Q�P8Rf0}_Bf�OU��OzvL��e�V�Q�P8Rf0}_Bf�OU��OQ���e�V�Q�P8Rf0}_Bf�OU��O)R�s�V�Q�P8Rf0}_Bf�OU��O?|�O�V�Q�P8Rf0}_Bf�OU��OBf�O�V�Q�P8Rf0}_Bf�OU��O�Ock�0�0�0�0�0�0�0�V�Q�P8Rf0}_Bf�OU��O)R�s�V�Q�P8Rf0}_Bf�OU��O?|�O�V�Q�P8Rf0}_Bf�OU��OBf�O�V�Q�P8Rf0}_Bf�OU��OU��Od�v�V�Q�P8Rf0}_Bf�OU��O�Ock�0�0�0�0�0�0�0�0�0�0�e�N�0�0�0�0�0t^�pe$P	��0�0�0�0�0g�pe$P	��0�0�0�0�0t^g�0�0�0�0�0�0�0�0�0 / �e�N�0�0�0�0�0\�0�0�0�0 / �e�N�fٞ�vj0�0�0�0�0�0�0�0�0�0�0�0�0�0�0�0�0�0�0�0���gR^����gR^����g���gR^�R^����gR^��V�S���gR^��ng���gR^����gR^����gR^����gR^�R^����gR^����gR^����g�V�Q�P8Rf0}_Bf�OU��O�W�n�e�0�0�0�0�0�e�N�0�0�0 �0�0�0�000�0�0�0 �0�0�0�00�V�Q�P8Rf0}_Bf�OU��O�W�n�e�0�0�0�0�0�e�N�V�Q�P8Rf0}_Bf�OU��O�W�n�e�0�0�0�0�0�e�N�V�Q�P8Rf0}_Bf�OU��O�W�n�e�0�0�0�0�0�e�N�V�Q�P8Rf0}_Bf�OU��O���g���gR^����g�0�0�0 �0�0�0�000�0�0�0 �0�0�0�00�V�Q�P8Rf0}_Bf�OU��O���g���gR^����g�V�Q�P8Rf0}_Bf�OU��O���g���gR^����g�V�Q�P8Rf0}_Bf�OU��O���g���gR^����g
</file>

<file path=customXml/item11.xml>��
</file>

<file path=customXml/item12.xml>���V�Q�P8Rf0}_Bf�OU��O�V�Q�P8Rf0}_Bf�OU��O�W�n�e���gzvL��eQ���e)R�s?|�OBf�O�Ock�0�0�0�0�0�0�0���gR^����gR^����gR^��V�S�ng���gR^����gR^����gR^��V�S�ng�0�0�0�0�0�0�0�0�0�0�e�Nt^�pe$P	�g�pe$P	�t^g
</file>

<file path=customXml/item13.xml>�����gR^����gR^��V�S�ng���gR^��V�S�ng
</file>

<file path=customXml/item14.xml>��
</file>

<file path=customXml/item15.xml>��
</file>

<file path=customXml/item16.xml>��
</file>

<file path=customXml/item17.xml>���V�Q�P8Rf0}_Bf�OU��O�W�n�e���gzvL��eQ���e)R�s?|�OBf�O�Ock�0�0�0�0�0�0�0�W�n�e���gzvL��eQ���e)R�s?|�OBf�O�Ock�0�0�0�0�0�0�0
</file>

<file path=customXml/item18.xml>���V�Q�P8Rf0}_Bf�OU��O���gR^�
</file>

<file path=customXml/item19.xml>��
</file>

<file path=customXml/item20.xml>��
</file>

<file path=customXml/item21.xml>��)R�s)R�s
</file>

<file path=customXml/itemProps1.xml><?xml version="1.0" encoding="utf-8"?>
<ds:datastoreItem xmlns:ds="http://schemas.openxmlformats.org/officeDocument/2006/customXml" ds:itemID="{EF3486E1-85A1-4091-8962-6AAA70107CAE}">
  <ds:schemaRefs/>
</ds:datastoreItem>
</file>

<file path=customXml/itemProps2.xml><?xml version="1.0" encoding="utf-8"?>
<ds:datastoreItem xmlns:ds="http://schemas.openxmlformats.org/officeDocument/2006/customXml" ds:itemID="{86A77AF1-31EE-4EBD-AA95-903B3E8651A8}">
  <ds:schemaRefs/>
</ds:datastoreItem>
</file>

<file path=customXml/itemProps3.xml><?xml version="1.0" encoding="utf-8"?>
<ds:datastoreItem xmlns:ds="http://schemas.openxmlformats.org/officeDocument/2006/customXml" ds:itemID="{9A286DEC-5834-4B00-B085-4876C1135112}">
  <ds:schemaRefs/>
</ds:datastoreItem>
</file>

<file path=customXml/itemProps4.xml><?xml version="1.0" encoding="utf-8"?>
<ds:datastoreItem xmlns:ds="http://schemas.openxmlformats.org/officeDocument/2006/customXml" ds:itemID="{11100F26-B938-4439-A5E9-DC87705115F2}">
  <ds:schemaRefs/>
</ds:datastoreItem>
</file>

<file path=customXml/itemProps5.xml><?xml version="1.0" encoding="utf-8"?>
<ds:datastoreItem xmlns:ds="http://schemas.openxmlformats.org/officeDocument/2006/customXml" ds:itemID="{62CE279C-AA9A-410D-A7D9-DB085867DFEB}">
  <ds:schemaRefs/>
</ds:datastoreItem>
</file>

<file path=customXml/itemProps6.xml><?xml version="1.0" encoding="utf-8"?>
<ds:datastoreItem xmlns:ds="http://schemas.openxmlformats.org/officeDocument/2006/customXml" ds:itemID="{258EF58B-1407-4690-B647-297E17B8432B}">
  <ds:schemaRefs/>
</ds:datastoreItem>
</file>

<file path=customXml/itemProps7.xml><?xml version="1.0" encoding="utf-8"?>
<ds:datastoreItem xmlns:ds="http://schemas.openxmlformats.org/officeDocument/2006/customXml" ds:itemID="{CF2C751B-8795-4642-9DEA-8D3D1E7AC37D}">
  <ds:schemaRefs/>
</ds:datastoreItem>
</file>

<file path=customXml/itemProps8.xml><?xml version="1.0" encoding="utf-8"?>
<ds:datastoreItem xmlns:ds="http://schemas.openxmlformats.org/officeDocument/2006/customXml" ds:itemID="{EA8D05A2-AEC0-40B6-85A1-A0FCC5FD640D}">
  <ds:schemaRefs/>
</ds:datastoreItem>
</file>

<file path=customXml/itemProps9.xml><?xml version="1.0" encoding="utf-8"?>
<ds:datastoreItem xmlns:ds="http://schemas.openxmlformats.org/officeDocument/2006/customXml" ds:itemID="{3B5C7951-1E26-414A-9047-B2B1E0D76940}">
  <ds:schemaRefs/>
</ds:datastoreItem>
</file>

<file path=customXml/itemProps10.xml><?xml version="1.0" encoding="utf-8"?>
<ds:datastoreItem xmlns:ds="http://schemas.openxmlformats.org/officeDocument/2006/customXml" ds:itemID="{9D11F5D6-9F1F-4D25-8CA7-6B687A5CB246}">
  <ds:schemaRefs/>
</ds:datastoreItem>
</file>

<file path=customXml/itemProps11.xml><?xml version="1.0" encoding="utf-8"?>
<ds:datastoreItem xmlns:ds="http://schemas.openxmlformats.org/officeDocument/2006/customXml" ds:itemID="{E0F1B20C-8061-4C1B-AA53-1D6F80CF6D71}">
  <ds:schemaRefs/>
</ds:datastoreItem>
</file>

<file path=customXml/itemProps12.xml><?xml version="1.0" encoding="utf-8"?>
<ds:datastoreItem xmlns:ds="http://schemas.openxmlformats.org/officeDocument/2006/customXml" ds:itemID="{9C319409-988F-4B40-A5A3-9A9A605706BC}">
  <ds:schemaRefs/>
</ds:datastoreItem>
</file>

<file path=customXml/itemProps13.xml><?xml version="1.0" encoding="utf-8"?>
<ds:datastoreItem xmlns:ds="http://schemas.openxmlformats.org/officeDocument/2006/customXml" ds:itemID="{877C1545-50E1-4277-9E8F-2038D0886F1B}">
  <ds:schemaRefs/>
</ds:datastoreItem>
</file>

<file path=customXml/itemProps14.xml><?xml version="1.0" encoding="utf-8"?>
<ds:datastoreItem xmlns:ds="http://schemas.openxmlformats.org/officeDocument/2006/customXml" ds:itemID="{580131A0-C1D8-4BE5-98DC-B6C93BF6048E}">
  <ds:schemaRefs/>
</ds:datastoreItem>
</file>

<file path=customXml/itemProps15.xml><?xml version="1.0" encoding="utf-8"?>
<ds:datastoreItem xmlns:ds="http://schemas.openxmlformats.org/officeDocument/2006/customXml" ds:itemID="{197C98D2-D0ED-4D01-B07C-A6D26A0D0387}">
  <ds:schemaRefs/>
</ds:datastoreItem>
</file>

<file path=customXml/itemProps16.xml><?xml version="1.0" encoding="utf-8"?>
<ds:datastoreItem xmlns:ds="http://schemas.openxmlformats.org/officeDocument/2006/customXml" ds:itemID="{CCB5D3CE-69CA-42B3-B4EF-D0CD081DB79F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8C06CD6E-4081-49B2-B3B6-46E718960A71}">
  <ds:schemaRefs/>
</ds:datastoreItem>
</file>

<file path=customXml/itemProps18.xml><?xml version="1.0" encoding="utf-8"?>
<ds:datastoreItem xmlns:ds="http://schemas.openxmlformats.org/officeDocument/2006/customXml" ds:itemID="{6AC87307-9AD8-4621-AB1B-E5AB9151D482}">
  <ds:schemaRefs/>
</ds:datastoreItem>
</file>

<file path=customXml/itemProps19.xml><?xml version="1.0" encoding="utf-8"?>
<ds:datastoreItem xmlns:ds="http://schemas.openxmlformats.org/officeDocument/2006/customXml" ds:itemID="{F4356362-FEB5-41AD-AB22-7C9C0144BB4F}">
  <ds:schemaRefs/>
</ds:datastoreItem>
</file>

<file path=customXml/itemProps20.xml><?xml version="1.0" encoding="utf-8"?>
<ds:datastoreItem xmlns:ds="http://schemas.openxmlformats.org/officeDocument/2006/customXml" ds:itemID="{8E20FEA4-EC9A-457D-A698-A2CB44B082BB}">
  <ds:schemaRefs/>
</ds:datastoreItem>
</file>

<file path=customXml/itemProps21.xml><?xml version="1.0" encoding="utf-8"?>
<ds:datastoreItem xmlns:ds="http://schemas.openxmlformats.org/officeDocument/2006/customXml" ds:itemID="{7E9FFB6E-C034-4146-B817-4409F5D076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9</vt:i4>
      </vt:variant>
    </vt:vector>
  </HeadingPairs>
  <TitlesOfParts>
    <vt:vector size="12" baseType="lpstr">
      <vt:lpstr>インターフェイス</vt:lpstr>
      <vt:lpstr>収集</vt:lpstr>
      <vt:lpstr>計算</vt:lpstr>
      <vt:lpstr>ListKijunBi</vt:lpstr>
      <vt:lpstr>ListMeasures</vt:lpstr>
      <vt:lpstr>N_KijunBi_Manual</vt:lpstr>
      <vt:lpstr>N_Mode</vt:lpstr>
      <vt:lpstr>Omajinai</vt:lpstr>
      <vt:lpstr>Unit</vt:lpstr>
      <vt:lpstr>基準月</vt:lpstr>
      <vt:lpstr>基準前月</vt:lpstr>
      <vt:lpstr>前四半期末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2026-05-19T19:01:44Z</dcterms:created>
  <dcterms:modified xsi:type="dcterms:W3CDTF">2026-05-19T19:17:44Z</dcterms:modified>
</cp:coreProperties>
</file>